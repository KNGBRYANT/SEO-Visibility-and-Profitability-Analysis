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o\Downloads\"/>
    </mc:Choice>
  </mc:AlternateContent>
  <xr:revisionPtr revIDLastSave="0" documentId="13_ncr:1_{5B21A4A8-4E6D-4ECB-BD15-88D7018A3A90}" xr6:coauthVersionLast="47" xr6:coauthVersionMax="47" xr10:uidLastSave="{00000000-0000-0000-0000-000000000000}"/>
  <bookViews>
    <workbookView xWindow="-120" yWindow="-120" windowWidth="20730" windowHeight="11760" activeTab="1" xr2:uid="{19BD1C25-769C-4624-B287-E88550B1D0BF}"/>
  </bookViews>
  <sheets>
    <sheet name="Main" sheetId="6" r:id="rId1"/>
    <sheet name="Banks " sheetId="5" r:id="rId2"/>
  </sheets>
  <definedNames>
    <definedName name="ExternalData_1" localSheetId="0" hidden="1">Main!$A$1:$K$141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 a="1"/>
  <c r="K2" i="6" s="1"/>
  <c r="K3" i="6" a="1"/>
  <c r="K3" i="6" s="1"/>
  <c r="K4" i="6" a="1"/>
  <c r="K4" i="6" s="1"/>
  <c r="K5" i="6" a="1"/>
  <c r="K5" i="6" s="1"/>
  <c r="K6" i="6" a="1"/>
  <c r="K6" i="6" s="1"/>
  <c r="K7" i="6" a="1"/>
  <c r="K7" i="6" s="1"/>
  <c r="K8" i="6" a="1"/>
  <c r="K8" i="6" s="1"/>
  <c r="K9" i="6" a="1"/>
  <c r="K9" i="6" s="1"/>
  <c r="K10" i="6" a="1"/>
  <c r="K10" i="6" s="1"/>
  <c r="K11" i="6" a="1"/>
  <c r="K11" i="6" s="1"/>
  <c r="K12" i="6" a="1"/>
  <c r="K12" i="6" s="1"/>
  <c r="K13" i="6" a="1"/>
  <c r="K13" i="6" s="1"/>
  <c r="K14" i="6" a="1"/>
  <c r="K14" i="6" s="1"/>
  <c r="K15" i="6" a="1"/>
  <c r="K15" i="6" s="1"/>
  <c r="K16" i="6" a="1"/>
  <c r="K16" i="6" s="1"/>
  <c r="K17" i="6" a="1"/>
  <c r="K17" i="6" s="1"/>
  <c r="K18" i="6" a="1"/>
  <c r="K18" i="6" s="1"/>
  <c r="K19" i="6" a="1"/>
  <c r="K19" i="6" s="1"/>
  <c r="K20" i="6" a="1"/>
  <c r="K20" i="6" s="1"/>
  <c r="K21" i="6" a="1"/>
  <c r="K21" i="6" s="1"/>
  <c r="K22" i="6" a="1"/>
  <c r="K22" i="6" s="1"/>
  <c r="K23" i="6" a="1"/>
  <c r="K23" i="6" s="1"/>
  <c r="K24" i="6" a="1"/>
  <c r="K24" i="6" s="1"/>
  <c r="K25" i="6" a="1"/>
  <c r="K25" i="6" s="1"/>
  <c r="K26" i="6" a="1"/>
  <c r="K26" i="6" s="1"/>
  <c r="K27" i="6" a="1"/>
  <c r="K27" i="6" s="1"/>
  <c r="K28" i="6" a="1"/>
  <c r="K28" i="6" s="1"/>
  <c r="K29" i="6" a="1"/>
  <c r="K29" i="6" s="1"/>
  <c r="K30" i="6" a="1"/>
  <c r="K30" i="6" s="1"/>
  <c r="K31" i="6" a="1"/>
  <c r="K31" i="6" s="1"/>
  <c r="K32" i="6" a="1"/>
  <c r="K32" i="6" s="1"/>
  <c r="K33" i="6" a="1"/>
  <c r="K33" i="6" s="1"/>
  <c r="K34" i="6" a="1"/>
  <c r="K34" i="6" s="1"/>
  <c r="K35" i="6" a="1"/>
  <c r="K35" i="6" s="1"/>
  <c r="K36" i="6" a="1"/>
  <c r="K36" i="6" s="1"/>
  <c r="K37" i="6" a="1"/>
  <c r="K37" i="6" s="1"/>
  <c r="K38" i="6" a="1"/>
  <c r="K38" i="6" s="1"/>
  <c r="K39" i="6" a="1"/>
  <c r="K39" i="6" s="1"/>
  <c r="K40" i="6" a="1"/>
  <c r="K40" i="6" s="1"/>
  <c r="K41" i="6" a="1"/>
  <c r="K41" i="6" s="1"/>
  <c r="K42" i="6" a="1"/>
  <c r="K42" i="6" s="1"/>
  <c r="K43" i="6" a="1"/>
  <c r="K43" i="6" s="1"/>
  <c r="K44" i="6" a="1"/>
  <c r="K44" i="6" s="1"/>
  <c r="K45" i="6" a="1"/>
  <c r="K45" i="6" s="1"/>
  <c r="K46" i="6" a="1"/>
  <c r="K46" i="6" s="1"/>
  <c r="K47" i="6" a="1"/>
  <c r="K47" i="6" s="1"/>
  <c r="K48" i="6" a="1"/>
  <c r="K48" i="6" s="1"/>
  <c r="K49" i="6" a="1"/>
  <c r="K49" i="6" s="1"/>
  <c r="K50" i="6" a="1"/>
  <c r="K50" i="6" s="1"/>
  <c r="K51" i="6" a="1"/>
  <c r="K51" i="6" s="1"/>
  <c r="K52" i="6" a="1"/>
  <c r="K52" i="6" s="1"/>
  <c r="K53" i="6" a="1"/>
  <c r="K53" i="6" s="1"/>
  <c r="K54" i="6" a="1"/>
  <c r="K54" i="6"/>
  <c r="K55" i="6" a="1"/>
  <c r="K55" i="6" s="1"/>
  <c r="K56" i="6" a="1"/>
  <c r="K56" i="6" s="1"/>
  <c r="K57" i="6" a="1"/>
  <c r="K57" i="6" s="1"/>
  <c r="K58" i="6" a="1"/>
  <c r="K58" i="6" s="1"/>
  <c r="K59" i="6" a="1"/>
  <c r="K59" i="6" s="1"/>
  <c r="K60" i="6" a="1"/>
  <c r="K60" i="6" s="1"/>
  <c r="K61" i="6" a="1"/>
  <c r="K61" i="6" s="1"/>
  <c r="K62" i="6" a="1"/>
  <c r="K62" i="6" s="1"/>
  <c r="K63" i="6" a="1"/>
  <c r="K63" i="6" s="1"/>
  <c r="K64" i="6" a="1"/>
  <c r="K64" i="6" s="1"/>
  <c r="K65" i="6" a="1"/>
  <c r="K65" i="6" s="1"/>
  <c r="K66" i="6" a="1"/>
  <c r="K66" i="6" s="1"/>
  <c r="K67" i="6" a="1"/>
  <c r="K67" i="6" s="1"/>
  <c r="K68" i="6" a="1"/>
  <c r="K68" i="6" s="1"/>
  <c r="K69" i="6" a="1"/>
  <c r="K69" i="6" s="1"/>
  <c r="K70" i="6" a="1"/>
  <c r="K70" i="6" s="1"/>
  <c r="K71" i="6" a="1"/>
  <c r="K71" i="6" s="1"/>
  <c r="K72" i="6" a="1"/>
  <c r="K72" i="6" s="1"/>
  <c r="K73" i="6" a="1"/>
  <c r="K73" i="6" s="1"/>
  <c r="K74" i="6" a="1"/>
  <c r="K74" i="6" s="1"/>
  <c r="K75" i="6" a="1"/>
  <c r="K75" i="6" s="1"/>
  <c r="K76" i="6" a="1"/>
  <c r="K76" i="6" s="1"/>
  <c r="K77" i="6" a="1"/>
  <c r="K77" i="6" s="1"/>
  <c r="K78" i="6" a="1"/>
  <c r="K78" i="6" s="1"/>
  <c r="K79" i="6" a="1"/>
  <c r="K79" i="6" s="1"/>
  <c r="K80" i="6" a="1"/>
  <c r="K80" i="6" s="1"/>
  <c r="K81" i="6" a="1"/>
  <c r="K81" i="6" s="1"/>
  <c r="K82" i="6" a="1"/>
  <c r="K82" i="6" s="1"/>
  <c r="K83" i="6" a="1"/>
  <c r="K83" i="6" s="1"/>
  <c r="K84" i="6" a="1"/>
  <c r="K84" i="6" s="1"/>
  <c r="K85" i="6" a="1"/>
  <c r="K85" i="6" s="1"/>
  <c r="K86" i="6" a="1"/>
  <c r="K86" i="6" s="1"/>
  <c r="K87" i="6" a="1"/>
  <c r="K87" i="6" s="1"/>
  <c r="K88" i="6" a="1"/>
  <c r="K88" i="6" s="1"/>
  <c r="K89" i="6" a="1"/>
  <c r="K89" i="6" s="1"/>
  <c r="K90" i="6" a="1"/>
  <c r="K90" i="6" s="1"/>
  <c r="K91" i="6" a="1"/>
  <c r="K91" i="6" s="1"/>
  <c r="K92" i="6" a="1"/>
  <c r="K92" i="6" s="1"/>
  <c r="K93" i="6" a="1"/>
  <c r="K93" i="6" s="1"/>
  <c r="K94" i="6" a="1"/>
  <c r="K94" i="6" s="1"/>
  <c r="K95" i="6" a="1"/>
  <c r="K95" i="6" s="1"/>
  <c r="K96" i="6" a="1"/>
  <c r="K96" i="6" s="1"/>
  <c r="K97" i="6" a="1"/>
  <c r="K97" i="6" s="1"/>
  <c r="K98" i="6" a="1"/>
  <c r="K98" i="6" s="1"/>
  <c r="K99" i="6" a="1"/>
  <c r="K99" i="6" s="1"/>
  <c r="K100" i="6" a="1"/>
  <c r="K100" i="6" s="1"/>
  <c r="K101" i="6" a="1"/>
  <c r="K101" i="6" s="1"/>
  <c r="K102" i="6" a="1"/>
  <c r="K102" i="6" s="1"/>
  <c r="K103" i="6" a="1"/>
  <c r="K103" i="6" s="1"/>
  <c r="K104" i="6" a="1"/>
  <c r="K104" i="6" s="1"/>
  <c r="K105" i="6" a="1"/>
  <c r="K105" i="6" s="1"/>
  <c r="K106" i="6" a="1"/>
  <c r="K106" i="6" s="1"/>
  <c r="K107" i="6" a="1"/>
  <c r="K107" i="6" s="1"/>
  <c r="K108" i="6" a="1"/>
  <c r="K108" i="6" s="1"/>
  <c r="K109" i="6" a="1"/>
  <c r="K109" i="6" s="1"/>
  <c r="K110" i="6" a="1"/>
  <c r="K110" i="6" s="1"/>
  <c r="K111" i="6" a="1"/>
  <c r="K111" i="6" s="1"/>
  <c r="K112" i="6" a="1"/>
  <c r="K112" i="6" s="1"/>
  <c r="K113" i="6" a="1"/>
  <c r="K113" i="6" s="1"/>
  <c r="K114" i="6" a="1"/>
  <c r="K114" i="6" s="1"/>
  <c r="K115" i="6" a="1"/>
  <c r="K115" i="6" s="1"/>
  <c r="K116" i="6" a="1"/>
  <c r="K116" i="6" s="1"/>
  <c r="K117" i="6" a="1"/>
  <c r="K117" i="6" s="1"/>
  <c r="K118" i="6" a="1"/>
  <c r="K118" i="6" s="1"/>
  <c r="K119" i="6" a="1"/>
  <c r="K119" i="6" s="1"/>
  <c r="K120" i="6" a="1"/>
  <c r="K120" i="6" s="1"/>
  <c r="K121" i="6" a="1"/>
  <c r="K121" i="6" s="1"/>
  <c r="K122" i="6" a="1"/>
  <c r="K122" i="6" s="1"/>
  <c r="K123" i="6" a="1"/>
  <c r="K123" i="6" s="1"/>
  <c r="K124" i="6" a="1"/>
  <c r="K124" i="6" s="1"/>
  <c r="K125" i="6" a="1"/>
  <c r="K125" i="6" s="1"/>
  <c r="K126" i="6" a="1"/>
  <c r="K126" i="6" s="1"/>
  <c r="K127" i="6" a="1"/>
  <c r="K127" i="6" s="1"/>
  <c r="K128" i="6" a="1"/>
  <c r="K128" i="6" s="1"/>
  <c r="K129" i="6" a="1"/>
  <c r="K129" i="6" s="1"/>
  <c r="K130" i="6" a="1"/>
  <c r="K130" i="6" s="1"/>
  <c r="K131" i="6" a="1"/>
  <c r="K131" i="6" s="1"/>
  <c r="K132" i="6" a="1"/>
  <c r="K132" i="6" s="1"/>
  <c r="K133" i="6" a="1"/>
  <c r="K133" i="6" s="1"/>
  <c r="K134" i="6" a="1"/>
  <c r="K134" i="6" s="1"/>
  <c r="K135" i="6" a="1"/>
  <c r="K135" i="6" s="1"/>
  <c r="K136" i="6" a="1"/>
  <c r="K136" i="6" s="1"/>
  <c r="K137" i="6" a="1"/>
  <c r="K137" i="6" s="1"/>
  <c r="K138" i="6" a="1"/>
  <c r="K138" i="6" s="1"/>
  <c r="K139" i="6" a="1"/>
  <c r="K139" i="6" s="1"/>
  <c r="K140" i="6" a="1"/>
  <c r="K140" i="6" s="1"/>
  <c r="K141" i="6" a="1"/>
  <c r="K14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1CB37-AD62-4270-A79A-6AB2A5439649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<sst xmlns="http://schemas.openxmlformats.org/spreadsheetml/2006/main" count="592" uniqueCount="194">
  <si>
    <t>Keyword</t>
  </si>
  <si>
    <t>Access Bank account login</t>
  </si>
  <si>
    <t>Zenith Bank mobile app</t>
  </si>
  <si>
    <t>UBA savings interest rate</t>
  </si>
  <si>
    <t>First Bank fixed deposit</t>
  </si>
  <si>
    <t>Fidelity Bank online transfer</t>
  </si>
  <si>
    <t>FCMB account opening guide</t>
  </si>
  <si>
    <t>Polaris Bank internet banking</t>
  </si>
  <si>
    <t>Sterling Bank account closure</t>
  </si>
  <si>
    <t>Wema Bank customer service</t>
  </si>
  <si>
    <t>Keystone Bank loan eligibility</t>
  </si>
  <si>
    <t>Providus Bank savings account</t>
  </si>
  <si>
    <t>Jaiz Bank account inquiry</t>
  </si>
  <si>
    <t>Lotus Bank personal loan</t>
  </si>
  <si>
    <t>Nova Merchant Bank account balance</t>
  </si>
  <si>
    <t>Access Bank transfer limit</t>
  </si>
  <si>
    <t>Zenith Bank interest calculator</t>
  </si>
  <si>
    <t>GTBank savings plan</t>
  </si>
  <si>
    <t>UBA loan repayment</t>
  </si>
  <si>
    <t>First Bank mobile deposit</t>
  </si>
  <si>
    <t>FCMB credit card application</t>
  </si>
  <si>
    <t>Stanbic IBTC investment options</t>
  </si>
  <si>
    <t>Polaris Bank ATM withdrawal</t>
  </si>
  <si>
    <t>Keystone Bank mobile alerts</t>
  </si>
  <si>
    <t>Providus Bank loan tracker</t>
  </si>
  <si>
    <t>Jaiz Bank account verification</t>
  </si>
  <si>
    <t>Globus Bank card upgrade</t>
  </si>
  <si>
    <t>Lotus Bank account setup</t>
  </si>
  <si>
    <t>Nova Merchant Bank online support</t>
  </si>
  <si>
    <t>Banks_Appearing</t>
  </si>
  <si>
    <t>Rank_Position</t>
  </si>
  <si>
    <t>Access Bank</t>
  </si>
  <si>
    <t>Zenith Bank</t>
  </si>
  <si>
    <t>First Bank</t>
  </si>
  <si>
    <t>Fidelity Bank</t>
  </si>
  <si>
    <t>FCMB</t>
  </si>
  <si>
    <t>Polaris Bank</t>
  </si>
  <si>
    <t>Sterling Bank</t>
  </si>
  <si>
    <t>Wema Bank</t>
  </si>
  <si>
    <t>Keystone Bank</t>
  </si>
  <si>
    <t>Providus Bank</t>
  </si>
  <si>
    <t>Jaiz Bank</t>
  </si>
  <si>
    <t>Unity Bank</t>
  </si>
  <si>
    <t>Globus Bank</t>
  </si>
  <si>
    <t>Lotus Bank</t>
  </si>
  <si>
    <t>Nova Merchant Bank</t>
  </si>
  <si>
    <t>GTBank</t>
  </si>
  <si>
    <t>UBA</t>
  </si>
  <si>
    <t>Stanbic IBTC</t>
  </si>
  <si>
    <t>loan application Nigeria</t>
  </si>
  <si>
    <t>mobile banking Nigeria</t>
  </si>
  <si>
    <t>ATM locations Nigeria</t>
  </si>
  <si>
    <t>account opening Nigeria</t>
  </si>
  <si>
    <t>card activation Nigeria</t>
  </si>
  <si>
    <t>corporate banking Nigeria</t>
  </si>
  <si>
    <t>credit card Nigeria</t>
  </si>
  <si>
    <t>digital banking Nigeria</t>
  </si>
  <si>
    <t>e-statement Nigeria</t>
  </si>
  <si>
    <t>first bank online Nigeria</t>
  </si>
  <si>
    <t>fidelity bank account Nigeria</t>
  </si>
  <si>
    <t>access bank loan Nigeria</t>
  </si>
  <si>
    <t>GTBank transfer Nigeria</t>
  </si>
  <si>
    <t>UBA ATM Nigeria</t>
  </si>
  <si>
    <t>provident fund Nigeria</t>
  </si>
  <si>
    <t>student account Nigeria</t>
  </si>
  <si>
    <t>bank verification Nigeria</t>
  </si>
  <si>
    <t>payroll account Nigeria</t>
  </si>
  <si>
    <t>mortgage Nigeria</t>
  </si>
  <si>
    <t>overdraft Nigeria</t>
  </si>
  <si>
    <t>fixed interest Nigeria</t>
  </si>
  <si>
    <t>GTBank online Nigeria</t>
  </si>
  <si>
    <t>Zenith bank branch Nigeria</t>
  </si>
  <si>
    <t>Access bank savings Nigeria</t>
  </si>
  <si>
    <t>Fidelity bank debit Nigeria</t>
  </si>
  <si>
    <t>bank code Nigeria</t>
  </si>
  <si>
    <t>auto savings Nigeria</t>
  </si>
  <si>
    <t>bank login Nigeria</t>
  </si>
  <si>
    <t>trade finance bank Nigeria</t>
  </si>
  <si>
    <t>insurance bank Nigeria</t>
  </si>
  <si>
    <t>investment account bank Nigeria</t>
  </si>
  <si>
    <t>cash deposit bank Nigeria</t>
  </si>
  <si>
    <t>utility payment bank Nigeria</t>
  </si>
  <si>
    <t>card pin bank Nigeria</t>
  </si>
  <si>
    <t>cheque book bank Nigeria</t>
  </si>
  <si>
    <t>mobile withdrawal bank Nigeria</t>
  </si>
  <si>
    <t>fixed deposit rate bank Nigeria</t>
  </si>
  <si>
    <t>salary account bank Nigeria</t>
  </si>
  <si>
    <t>branch locator bank Nigeria</t>
  </si>
  <si>
    <t>corporate loan bank Nigeria</t>
  </si>
  <si>
    <t>account upgrade bank Nigeria</t>
  </si>
  <si>
    <t>balance check bank Nigeria</t>
  </si>
  <si>
    <t>account statement bank Nigeria</t>
  </si>
  <si>
    <t>debit card bank Nigeria</t>
  </si>
  <si>
    <t>credit limit bank Nigeria</t>
  </si>
  <si>
    <t>loan status bank Nigeria</t>
  </si>
  <si>
    <t>Keyword_short</t>
  </si>
  <si>
    <t>Savings Plan</t>
  </si>
  <si>
    <t>Transfer</t>
  </si>
  <si>
    <t>Online Support</t>
  </si>
  <si>
    <t>Account Balance</t>
  </si>
  <si>
    <t>Avg. monthly searches</t>
  </si>
  <si>
    <t>Three month change</t>
  </si>
  <si>
    <t>Competition</t>
  </si>
  <si>
    <t>Competition (indexed value)</t>
  </si>
  <si>
    <t>Top of page bid (low range)</t>
  </si>
  <si>
    <t>Top of page bid (high range)</t>
  </si>
  <si>
    <t>Low</t>
  </si>
  <si>
    <t>Medium</t>
  </si>
  <si>
    <t>High</t>
  </si>
  <si>
    <t>NIL</t>
  </si>
  <si>
    <t>Bank_Name</t>
  </si>
  <si>
    <t>Union Bank</t>
  </si>
  <si>
    <t>PAT / Profit (₦B)</t>
  </si>
  <si>
    <t xml:space="preserve"> Zenith Bank</t>
  </si>
  <si>
    <t xml:space="preserve"> First Bank</t>
  </si>
  <si>
    <t xml:space="preserve"> Fidelity Bank</t>
  </si>
  <si>
    <t xml:space="preserve"> GTBank</t>
  </si>
  <si>
    <t xml:space="preserve"> UBA</t>
  </si>
  <si>
    <t xml:space="preserve"> Access Bank</t>
  </si>
  <si>
    <t xml:space="preserve"> Stanbic IBTC</t>
  </si>
  <si>
    <t xml:space="preserve"> Unity Bank</t>
  </si>
  <si>
    <t xml:space="preserve"> Polaris Bank</t>
  </si>
  <si>
    <t xml:space="preserve"> FCMB</t>
  </si>
  <si>
    <t xml:space="preserve"> Union Bank</t>
  </si>
  <si>
    <t>Account</t>
  </si>
  <si>
    <t>Account Closure</t>
  </si>
  <si>
    <t>Account Inquiry</t>
  </si>
  <si>
    <t>Account Login</t>
  </si>
  <si>
    <t>Account Opening</t>
  </si>
  <si>
    <t>Account Opening Guide</t>
  </si>
  <si>
    <t>Account Setup</t>
  </si>
  <si>
    <t>Account Statement</t>
  </si>
  <si>
    <t>Account Upgrade</t>
  </si>
  <si>
    <t>Account Verification</t>
  </si>
  <si>
    <t>Atm</t>
  </si>
  <si>
    <t>Atm Locations</t>
  </si>
  <si>
    <t>Atm Withdrawal</t>
  </si>
  <si>
    <t>Auto Savings</t>
  </si>
  <si>
    <t>Balance Check</t>
  </si>
  <si>
    <t>Branch</t>
  </si>
  <si>
    <t>Branch Locator</t>
  </si>
  <si>
    <t>Card Activation</t>
  </si>
  <si>
    <t>Card Pin</t>
  </si>
  <si>
    <t>Card Upgrade</t>
  </si>
  <si>
    <t>Cash Deposit</t>
  </si>
  <si>
    <t>Cheque Book</t>
  </si>
  <si>
    <t>Code</t>
  </si>
  <si>
    <t>Corporate</t>
  </si>
  <si>
    <t>Corporate Loan</t>
  </si>
  <si>
    <t>Credit Card</t>
  </si>
  <si>
    <t>Credit Card Application</t>
  </si>
  <si>
    <t>Credit Limit</t>
  </si>
  <si>
    <t>Customer Service</t>
  </si>
  <si>
    <t>Debit</t>
  </si>
  <si>
    <t>Debit Card</t>
  </si>
  <si>
    <t>Digital</t>
  </si>
  <si>
    <t>E-Statement</t>
  </si>
  <si>
    <t>Fixed Deposit</t>
  </si>
  <si>
    <t>Fixed Deposit Rate</t>
  </si>
  <si>
    <t>Fixed Interest</t>
  </si>
  <si>
    <t>Gt Online</t>
  </si>
  <si>
    <t>Investment Options</t>
  </si>
  <si>
    <t>Insurance</t>
  </si>
  <si>
    <t>Interest Calculator</t>
  </si>
  <si>
    <t>Internet</t>
  </si>
  <si>
    <t>Investment Account</t>
  </si>
  <si>
    <t>Loan</t>
  </si>
  <si>
    <t>Loan Application</t>
  </si>
  <si>
    <t>Loan Eligibility</t>
  </si>
  <si>
    <t>Loan Repayment</t>
  </si>
  <si>
    <t>Loan Status</t>
  </si>
  <si>
    <t>Loan Tracker</t>
  </si>
  <si>
    <t>Login</t>
  </si>
  <si>
    <t>Mobile</t>
  </si>
  <si>
    <t>Mobile Alerts</t>
  </si>
  <si>
    <t>Mobile App</t>
  </si>
  <si>
    <t>Mobile Deposit</t>
  </si>
  <si>
    <t>Mobile Withdrawal</t>
  </si>
  <si>
    <t>Mortgage</t>
  </si>
  <si>
    <t>Online</t>
  </si>
  <si>
    <t>Online Transfer</t>
  </si>
  <si>
    <t>Overdraft</t>
  </si>
  <si>
    <t>Payroll Account</t>
  </si>
  <si>
    <t>Personal Loan</t>
  </si>
  <si>
    <t>Provident Fund</t>
  </si>
  <si>
    <t>Salary Account</t>
  </si>
  <si>
    <t>Savings</t>
  </si>
  <si>
    <t>Savings Account</t>
  </si>
  <si>
    <t>Savings Interest Rate</t>
  </si>
  <si>
    <t>Student Account</t>
  </si>
  <si>
    <t>Trade Finance</t>
  </si>
  <si>
    <t>Transfer Limit</t>
  </si>
  <si>
    <t>Utility Payment</t>
  </si>
  <si>
    <t>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</si>
</sst>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A4C2F9-9675-4556-BCD9-52F9FF559504}" autoFormatId="16" applyNumberFormats="0" applyBorderFormats="0" applyFontFormats="0" applyPatternFormats="0" applyAlignmentFormats="0" applyWidthHeightFormats="0">
  <queryTableRefresh nextId="12">
    <queryTableFields count="11">
      <queryTableField id="1" name="Keyword" tableColumnId="1"/>
      <queryTableField id="2" name="Banks_Appearing" tableColumnId="2"/>
      <queryTableField id="3" name="Rank_Position" tableColumnId="3"/>
      <queryTableField id="4" name="Keyword_short" tableColumnId="4"/>
      <queryTableField id="5" name="Avg. monthly searches" tableColumnId="5"/>
      <queryTableField id="6" name="Three month change" tableColumnId="6"/>
      <queryTableField id="7" name="Competition" tableColumnId="7"/>
      <queryTableField id="8" name="Competition (indexed value)" tableColumnId="8"/>
      <queryTableField id="9" name="Top of page bid (low range)" tableColumnId="9"/>
      <queryTableField id="10" name="Top of page bid (high range)" tableColumnId="10"/>
      <queryTableField id="11" name="Avg_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7C0AD-E2C7-4DC0-9267-EFD0B7198DD8}" name="Main" displayName="Main" ref="A1:K141" tableType="queryTable" totalsRowShown="0">
  <autoFilter ref="A1:K141" xr:uid="{DB37C0AD-E2C7-4DC0-9267-EFD0B7198DD8}"/>
  <tableColumns count="11">
    <tableColumn id="1" xr3:uid="{E74EBEBC-725D-4A72-A4D7-CF2152EF3774}" uniqueName="1" name="Keyword" queryTableFieldId="1" dataDxfId="3"/>
    <tableColumn id="2" xr3:uid="{2175FF74-7818-4F48-A1CA-247645404C66}" uniqueName="2" name="Banks_Appearing" queryTableFieldId="2" dataDxfId="2"/>
    <tableColumn id="3" xr3:uid="{37738F39-6EB3-4B41-8A1A-DB2D11E6AC3D}" uniqueName="3" name="Rank_Position" queryTableFieldId="3"/>
    <tableColumn id="4" xr3:uid="{1A6716C2-9DB0-419E-A8E9-400D17E67D97}" uniqueName="4" name="Keyword_short" queryTableFieldId="4" dataDxfId="1"/>
    <tableColumn id="5" xr3:uid="{F5812BC2-0FCB-4E14-8C5E-27AB58F62B5E}" uniqueName="5" name="Avg. monthly searches" queryTableFieldId="5"/>
    <tableColumn id="6" xr3:uid="{99EAFC51-7FBD-4C69-8D87-B67E7462BFEA}" uniqueName="6" name="Three month change" queryTableFieldId="6"/>
    <tableColumn id="7" xr3:uid="{12ED7076-A561-4023-AFDA-7BE98CD6AE63}" uniqueName="7" name="Competition" queryTableFieldId="7" dataDxfId="0"/>
    <tableColumn id="8" xr3:uid="{14CAF91F-C53F-4A16-A8D4-F02F018E272B}" uniqueName="8" name="Competition (indexed value)" queryTableFieldId="8"/>
    <tableColumn id="9" xr3:uid="{C4AFE02F-9BF3-49A4-9381-56CD4AA8E40E}" uniqueName="9" name="Top of page bid (low range)" queryTableFieldId="9"/>
    <tableColumn id="10" xr3:uid="{7592E4B0-D36B-425A-8D1F-DDA5DEC2B1E6}" uniqueName="10" name="Top of page bid (high range)" queryTableFieldId="10"/>
    <tableColumn id="11" xr3:uid="{B9BEDB0A-2A03-423F-8D30-87BB4F495B0C}" uniqueName="11" name="PAT / Profit (₦B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F761-6652-40D0-996F-9B343E33EB01}">
  <dimension ref="A1:K141"/>
  <sheetViews>
    <sheetView topLeftCell="A116" workbookViewId="0">
      <selection activeCell="D1" sqref="D1:D1048576"/>
    </sheetView>
  </sheetViews>
  <sheetFormatPr defaultRowHeight="15" x14ac:dyDescent="0.25"/>
  <cols>
    <col min="1" max="1" width="29.42578125" bestFit="1" customWidth="1"/>
    <col min="2" max="2" width="19.42578125" bestFit="1" customWidth="1"/>
    <col min="3" max="3" width="16.140625" bestFit="1" customWidth="1"/>
    <col min="4" max="4" width="22" bestFit="1" customWidth="1"/>
    <col min="5" max="5" width="23.85546875" bestFit="1" customWidth="1"/>
    <col min="6" max="6" width="21.85546875" bestFit="1" customWidth="1"/>
    <col min="7" max="7" width="14.7109375" bestFit="1" customWidth="1"/>
    <col min="8" max="8" width="29.42578125" bestFit="1" customWidth="1"/>
    <col min="9" max="9" width="27.85546875" bestFit="1" customWidth="1"/>
    <col min="10" max="10" width="28.5703125" bestFit="1" customWidth="1"/>
    <col min="11" max="11" width="17.42578125" bestFit="1" customWidth="1"/>
  </cols>
  <sheetData>
    <row r="1" spans="1:11" x14ac:dyDescent="0.25">
      <c r="A1" t="s">
        <v>0</v>
      </c>
      <c r="B1" t="s">
        <v>29</v>
      </c>
      <c r="C1" t="s">
        <v>30</v>
      </c>
      <c r="D1" t="s">
        <v>95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112</v>
      </c>
    </row>
    <row r="2" spans="1:11" x14ac:dyDescent="0.25">
      <c r="A2" t="s">
        <v>59</v>
      </c>
      <c r="B2" t="s">
        <v>34</v>
      </c>
      <c r="C2">
        <v>1</v>
      </c>
      <c r="D2" t="s">
        <v>124</v>
      </c>
      <c r="E2">
        <v>50000</v>
      </c>
      <c r="F2">
        <v>0</v>
      </c>
      <c r="G2" t="s">
        <v>106</v>
      </c>
      <c r="H2">
        <v>4</v>
      </c>
      <c r="I2">
        <v>2.57</v>
      </c>
      <c r="J2">
        <v>18.54</v>
      </c>
      <c r="K2" cm="1">
        <f t="array" ref="K2">_xlfn.XLOOKUP(TRIM(B2),TRIM('Banks '!$A$2:$A$20),'Banks '!$B$2:$B$20,,0)</f>
        <v>73.3</v>
      </c>
    </row>
    <row r="3" spans="1:11" x14ac:dyDescent="0.25">
      <c r="A3" t="s">
        <v>8</v>
      </c>
      <c r="B3" t="s">
        <v>37</v>
      </c>
      <c r="C3">
        <v>5</v>
      </c>
      <c r="D3" t="s">
        <v>125</v>
      </c>
      <c r="E3">
        <v>500</v>
      </c>
      <c r="F3">
        <v>0</v>
      </c>
      <c r="G3" t="s">
        <v>106</v>
      </c>
      <c r="H3">
        <v>2</v>
      </c>
      <c r="I3">
        <v>20.41</v>
      </c>
      <c r="J3">
        <v>266.52</v>
      </c>
      <c r="K3" cm="1">
        <f t="array" ref="K3">_xlfn.XLOOKUP(TRIM(B3),TRIM('Banks '!$A$2:$A$20),'Banks '!$B$2:$B$20,,0)</f>
        <v>43.68</v>
      </c>
    </row>
    <row r="4" spans="1:11" x14ac:dyDescent="0.25">
      <c r="A4" t="s">
        <v>12</v>
      </c>
      <c r="B4" t="s">
        <v>41</v>
      </c>
      <c r="C4">
        <v>4</v>
      </c>
      <c r="D4" t="s">
        <v>126</v>
      </c>
      <c r="E4">
        <v>50</v>
      </c>
      <c r="F4">
        <v>0</v>
      </c>
      <c r="G4" t="s">
        <v>106</v>
      </c>
      <c r="H4">
        <v>0</v>
      </c>
      <c r="I4">
        <v>0</v>
      </c>
      <c r="J4">
        <v>0</v>
      </c>
      <c r="K4" cm="1">
        <f t="array" ref="K4">_xlfn.XLOOKUP(TRIM(B4),TRIM('Banks '!$A$2:$A$20),'Banks '!$B$2:$B$20,,0)</f>
        <v>40.380000000000003</v>
      </c>
    </row>
    <row r="5" spans="1:11" x14ac:dyDescent="0.25">
      <c r="A5" t="s">
        <v>1</v>
      </c>
      <c r="B5" t="s">
        <v>31</v>
      </c>
      <c r="C5">
        <v>1</v>
      </c>
      <c r="D5" t="s">
        <v>127</v>
      </c>
      <c r="E5">
        <v>50</v>
      </c>
      <c r="F5">
        <v>0</v>
      </c>
      <c r="G5" t="s">
        <v>106</v>
      </c>
      <c r="H5">
        <v>0</v>
      </c>
      <c r="I5">
        <v>0</v>
      </c>
      <c r="J5">
        <v>0</v>
      </c>
      <c r="K5" cm="1">
        <f t="array" ref="K5">_xlfn.XLOOKUP(TRIM(B5),TRIM('Banks '!$A$2:$A$20),'Banks '!$B$2:$B$20,,0)</f>
        <v>642.22</v>
      </c>
    </row>
    <row r="6" spans="1:11" x14ac:dyDescent="0.25">
      <c r="A6" t="s">
        <v>52</v>
      </c>
      <c r="B6" t="s">
        <v>47</v>
      </c>
      <c r="C6">
        <v>7</v>
      </c>
      <c r="D6" t="s">
        <v>128</v>
      </c>
      <c r="E6">
        <v>500</v>
      </c>
      <c r="F6">
        <v>0</v>
      </c>
      <c r="G6" t="s">
        <v>106</v>
      </c>
      <c r="H6">
        <v>0</v>
      </c>
      <c r="I6">
        <v>0</v>
      </c>
      <c r="J6">
        <v>0</v>
      </c>
      <c r="K6" cm="1">
        <f t="array" ref="K6">_xlfn.XLOOKUP(TRIM(B6),TRIM('Banks '!$A$2:$A$20),'Banks '!$B$2:$B$20,,0)</f>
        <v>766.6</v>
      </c>
    </row>
    <row r="7" spans="1:11" x14ac:dyDescent="0.25">
      <c r="A7" t="s">
        <v>52</v>
      </c>
      <c r="B7" t="s">
        <v>47</v>
      </c>
      <c r="C7">
        <v>9</v>
      </c>
      <c r="D7" t="s">
        <v>128</v>
      </c>
      <c r="E7">
        <v>500</v>
      </c>
      <c r="F7">
        <v>0</v>
      </c>
      <c r="G7" t="s">
        <v>106</v>
      </c>
      <c r="H7">
        <v>0</v>
      </c>
      <c r="I7">
        <v>0</v>
      </c>
      <c r="J7">
        <v>0</v>
      </c>
      <c r="K7" cm="1">
        <f t="array" ref="K7">_xlfn.XLOOKUP(TRIM(B7),TRIM('Banks '!$A$2:$A$20),'Banks '!$B$2:$B$20,,0)</f>
        <v>766.6</v>
      </c>
    </row>
    <row r="8" spans="1:11" x14ac:dyDescent="0.25">
      <c r="A8" t="s">
        <v>52</v>
      </c>
      <c r="B8" t="s">
        <v>113</v>
      </c>
      <c r="C8">
        <v>7</v>
      </c>
      <c r="D8" t="s">
        <v>128</v>
      </c>
      <c r="E8">
        <v>500</v>
      </c>
      <c r="F8">
        <v>0</v>
      </c>
      <c r="G8" t="s">
        <v>106</v>
      </c>
      <c r="H8">
        <v>0</v>
      </c>
      <c r="I8">
        <v>0</v>
      </c>
      <c r="J8">
        <v>0</v>
      </c>
      <c r="K8" cm="1">
        <f t="array" ref="K8">_xlfn.XLOOKUP(TRIM(B8),TRIM('Banks '!$A$2:$A$20),'Banks '!$B$2:$B$20,,0)</f>
        <v>1030</v>
      </c>
    </row>
    <row r="9" spans="1:11" x14ac:dyDescent="0.25">
      <c r="A9" t="s">
        <v>52</v>
      </c>
      <c r="B9" t="s">
        <v>113</v>
      </c>
      <c r="C9">
        <v>9</v>
      </c>
      <c r="D9" t="s">
        <v>128</v>
      </c>
      <c r="E9">
        <v>500</v>
      </c>
      <c r="F9">
        <v>0</v>
      </c>
      <c r="G9" t="s">
        <v>106</v>
      </c>
      <c r="H9">
        <v>0</v>
      </c>
      <c r="I9">
        <v>0</v>
      </c>
      <c r="J9">
        <v>0</v>
      </c>
      <c r="K9" cm="1">
        <f t="array" ref="K9">_xlfn.XLOOKUP(TRIM(B9),TRIM('Banks '!$A$2:$A$20),'Banks '!$B$2:$B$20,,0)</f>
        <v>1030</v>
      </c>
    </row>
    <row r="10" spans="1:11" x14ac:dyDescent="0.25">
      <c r="A10" t="s">
        <v>6</v>
      </c>
      <c r="B10" t="s">
        <v>35</v>
      </c>
      <c r="C10">
        <v>1</v>
      </c>
      <c r="D10" t="s">
        <v>129</v>
      </c>
      <c r="E10">
        <v>500</v>
      </c>
      <c r="F10">
        <v>0</v>
      </c>
      <c r="G10" t="s">
        <v>106</v>
      </c>
      <c r="H10">
        <v>14</v>
      </c>
      <c r="I10">
        <v>31.27</v>
      </c>
      <c r="J10">
        <v>185.53</v>
      </c>
      <c r="K10" cm="1">
        <f t="array" ref="K10">_xlfn.XLOOKUP(TRIM(B10),TRIM('Banks '!$A$2:$A$20),'Banks '!$B$2:$B$20,,0)</f>
        <v>23.48</v>
      </c>
    </row>
    <row r="11" spans="1:11" x14ac:dyDescent="0.25">
      <c r="A11" t="s">
        <v>27</v>
      </c>
      <c r="B11" t="s">
        <v>44</v>
      </c>
      <c r="C11">
        <v>1</v>
      </c>
      <c r="D11" t="s">
        <v>130</v>
      </c>
      <c r="E11">
        <v>0</v>
      </c>
      <c r="F11">
        <v>0</v>
      </c>
      <c r="G11" t="s">
        <v>109</v>
      </c>
      <c r="H11">
        <v>0</v>
      </c>
      <c r="I11">
        <v>0</v>
      </c>
      <c r="J11">
        <v>0</v>
      </c>
      <c r="K11" cm="1">
        <f t="array" ref="K11">_xlfn.XLOOKUP(TRIM(B11),TRIM('Banks '!$A$2:$A$20),'Banks '!$B$2:$B$20,,0)</f>
        <v>12</v>
      </c>
    </row>
    <row r="12" spans="1:11" x14ac:dyDescent="0.25">
      <c r="A12" t="s">
        <v>91</v>
      </c>
      <c r="B12" t="s">
        <v>47</v>
      </c>
      <c r="C12">
        <v>2</v>
      </c>
      <c r="D12" t="s">
        <v>131</v>
      </c>
      <c r="E12">
        <v>50</v>
      </c>
      <c r="F12">
        <v>0</v>
      </c>
      <c r="G12" t="s">
        <v>106</v>
      </c>
      <c r="H12">
        <v>0</v>
      </c>
      <c r="I12">
        <v>0</v>
      </c>
      <c r="J12">
        <v>0</v>
      </c>
      <c r="K12" cm="1">
        <f t="array" ref="K12">_xlfn.XLOOKUP(TRIM(B12),TRIM('Banks '!$A$2:$A$20),'Banks '!$B$2:$B$20,,0)</f>
        <v>766.6</v>
      </c>
    </row>
    <row r="13" spans="1:11" x14ac:dyDescent="0.25">
      <c r="A13" t="s">
        <v>91</v>
      </c>
      <c r="B13" t="s">
        <v>47</v>
      </c>
      <c r="C13">
        <v>4</v>
      </c>
      <c r="D13" t="s">
        <v>131</v>
      </c>
      <c r="E13">
        <v>50</v>
      </c>
      <c r="F13">
        <v>0</v>
      </c>
      <c r="G13" t="s">
        <v>106</v>
      </c>
      <c r="H13">
        <v>0</v>
      </c>
      <c r="I13">
        <v>0</v>
      </c>
      <c r="J13">
        <v>0</v>
      </c>
      <c r="K13" cm="1">
        <f t="array" ref="K13">_xlfn.XLOOKUP(TRIM(B13),TRIM('Banks '!$A$2:$A$20),'Banks '!$B$2:$B$20,,0)</f>
        <v>766.6</v>
      </c>
    </row>
    <row r="14" spans="1:11" x14ac:dyDescent="0.25">
      <c r="A14" t="s">
        <v>91</v>
      </c>
      <c r="B14" t="s">
        <v>114</v>
      </c>
      <c r="C14">
        <v>2</v>
      </c>
      <c r="D14" t="s">
        <v>131</v>
      </c>
      <c r="E14">
        <v>50</v>
      </c>
      <c r="F14">
        <v>0</v>
      </c>
      <c r="G14" t="s">
        <v>106</v>
      </c>
      <c r="H14">
        <v>0</v>
      </c>
      <c r="I14">
        <v>0</v>
      </c>
      <c r="J14">
        <v>0</v>
      </c>
      <c r="K14" cm="1">
        <f t="array" ref="K14">_xlfn.XLOOKUP(TRIM(B14),TRIM('Banks '!$A$2:$A$20),'Banks '!$B$2:$B$20,,0)</f>
        <v>385.2</v>
      </c>
    </row>
    <row r="15" spans="1:11" x14ac:dyDescent="0.25">
      <c r="A15" t="s">
        <v>91</v>
      </c>
      <c r="B15" t="s">
        <v>114</v>
      </c>
      <c r="C15">
        <v>4</v>
      </c>
      <c r="D15" t="s">
        <v>131</v>
      </c>
      <c r="E15">
        <v>50</v>
      </c>
      <c r="F15">
        <v>0</v>
      </c>
      <c r="G15" t="s">
        <v>106</v>
      </c>
      <c r="H15">
        <v>0</v>
      </c>
      <c r="I15">
        <v>0</v>
      </c>
      <c r="J15">
        <v>0</v>
      </c>
      <c r="K15" cm="1">
        <f t="array" ref="K15">_xlfn.XLOOKUP(TRIM(B15),TRIM('Banks '!$A$2:$A$20),'Banks '!$B$2:$B$20,,0)</f>
        <v>385.2</v>
      </c>
    </row>
    <row r="16" spans="1:11" x14ac:dyDescent="0.25">
      <c r="A16" t="s">
        <v>89</v>
      </c>
      <c r="B16" t="s">
        <v>31</v>
      </c>
      <c r="C16">
        <v>4</v>
      </c>
      <c r="D16" t="s">
        <v>132</v>
      </c>
      <c r="E16">
        <v>500</v>
      </c>
      <c r="F16">
        <v>0</v>
      </c>
      <c r="G16" t="s">
        <v>106</v>
      </c>
      <c r="H16">
        <v>0</v>
      </c>
      <c r="I16">
        <v>0</v>
      </c>
      <c r="J16">
        <v>0</v>
      </c>
      <c r="K16" cm="1">
        <f t="array" ref="K16">_xlfn.XLOOKUP(TRIM(B16),TRIM('Banks '!$A$2:$A$20),'Banks '!$B$2:$B$20,,0)</f>
        <v>642.22</v>
      </c>
    </row>
    <row r="17" spans="1:11" x14ac:dyDescent="0.25">
      <c r="A17" t="s">
        <v>89</v>
      </c>
      <c r="B17" t="s">
        <v>31</v>
      </c>
      <c r="C17">
        <v>8</v>
      </c>
      <c r="D17" t="s">
        <v>132</v>
      </c>
      <c r="E17">
        <v>500</v>
      </c>
      <c r="F17">
        <v>0</v>
      </c>
      <c r="G17" t="s">
        <v>106</v>
      </c>
      <c r="H17">
        <v>0</v>
      </c>
      <c r="I17">
        <v>0</v>
      </c>
      <c r="J17">
        <v>0</v>
      </c>
      <c r="K17" cm="1">
        <f t="array" ref="K17">_xlfn.XLOOKUP(TRIM(B17),TRIM('Banks '!$A$2:$A$20),'Banks '!$B$2:$B$20,,0)</f>
        <v>642.22</v>
      </c>
    </row>
    <row r="18" spans="1:11" x14ac:dyDescent="0.25">
      <c r="A18" t="s">
        <v>89</v>
      </c>
      <c r="B18" t="s">
        <v>34</v>
      </c>
      <c r="C18">
        <v>4</v>
      </c>
      <c r="D18" t="s">
        <v>132</v>
      </c>
      <c r="E18">
        <v>500</v>
      </c>
      <c r="F18">
        <v>0</v>
      </c>
      <c r="G18" t="s">
        <v>106</v>
      </c>
      <c r="H18">
        <v>0</v>
      </c>
      <c r="I18">
        <v>0</v>
      </c>
      <c r="J18">
        <v>0</v>
      </c>
      <c r="K18" cm="1">
        <f t="array" ref="K18">_xlfn.XLOOKUP(TRIM(B18),TRIM('Banks '!$A$2:$A$20),'Banks '!$B$2:$B$20,,0)</f>
        <v>73.3</v>
      </c>
    </row>
    <row r="19" spans="1:11" x14ac:dyDescent="0.25">
      <c r="A19" t="s">
        <v>89</v>
      </c>
      <c r="B19" t="s">
        <v>115</v>
      </c>
      <c r="C19">
        <v>8</v>
      </c>
      <c r="D19" t="s">
        <v>132</v>
      </c>
      <c r="E19">
        <v>500</v>
      </c>
      <c r="F19">
        <v>0</v>
      </c>
      <c r="G19" t="s">
        <v>106</v>
      </c>
      <c r="H19">
        <v>0</v>
      </c>
      <c r="I19">
        <v>0</v>
      </c>
      <c r="J19">
        <v>0</v>
      </c>
      <c r="K19" cm="1">
        <f t="array" ref="K19">_xlfn.XLOOKUP(TRIM(B19),TRIM('Banks '!$A$2:$A$20),'Banks '!$B$2:$B$20,,0)</f>
        <v>73.3</v>
      </c>
    </row>
    <row r="20" spans="1:11" x14ac:dyDescent="0.25">
      <c r="A20" t="s">
        <v>25</v>
      </c>
      <c r="B20" t="s">
        <v>41</v>
      </c>
      <c r="C20">
        <v>1</v>
      </c>
      <c r="D20" t="s">
        <v>133</v>
      </c>
      <c r="E20">
        <v>50</v>
      </c>
      <c r="F20">
        <v>9</v>
      </c>
      <c r="G20" t="s">
        <v>106</v>
      </c>
      <c r="H20">
        <v>0</v>
      </c>
      <c r="I20">
        <v>0</v>
      </c>
      <c r="J20">
        <v>0</v>
      </c>
      <c r="K20" cm="1">
        <f t="array" ref="K20">_xlfn.XLOOKUP(TRIM(B20),TRIM('Banks '!$A$2:$A$20),'Banks '!$B$2:$B$20,,0)</f>
        <v>40.380000000000003</v>
      </c>
    </row>
    <row r="21" spans="1:11" x14ac:dyDescent="0.25">
      <c r="A21" t="s">
        <v>62</v>
      </c>
      <c r="B21" t="s">
        <v>47</v>
      </c>
      <c r="C21">
        <v>1</v>
      </c>
      <c r="D21" t="s">
        <v>134</v>
      </c>
      <c r="E21">
        <v>5000</v>
      </c>
      <c r="F21">
        <v>0</v>
      </c>
      <c r="G21" t="s">
        <v>106</v>
      </c>
      <c r="H21">
        <v>3</v>
      </c>
      <c r="I21">
        <v>41.34</v>
      </c>
      <c r="J21">
        <v>301.95999999999998</v>
      </c>
      <c r="K21" cm="1">
        <f t="array" ref="K21">_xlfn.XLOOKUP(TRIM(B21),TRIM('Banks '!$A$2:$A$20),'Banks '!$B$2:$B$20,,0)</f>
        <v>766.6</v>
      </c>
    </row>
    <row r="22" spans="1:11" x14ac:dyDescent="0.25">
      <c r="A22" t="s">
        <v>51</v>
      </c>
      <c r="B22" t="s">
        <v>47</v>
      </c>
      <c r="C22">
        <v>2</v>
      </c>
      <c r="D22" t="s">
        <v>135</v>
      </c>
      <c r="E22">
        <v>50000</v>
      </c>
      <c r="F22">
        <v>0</v>
      </c>
      <c r="G22" t="s">
        <v>106</v>
      </c>
      <c r="H22">
        <v>0</v>
      </c>
      <c r="I22">
        <v>41.51</v>
      </c>
      <c r="J22">
        <v>134.93</v>
      </c>
      <c r="K22" cm="1">
        <f t="array" ref="K22">_xlfn.XLOOKUP(TRIM(B22),TRIM('Banks '!$A$2:$A$20),'Banks '!$B$2:$B$20,,0)</f>
        <v>766.6</v>
      </c>
    </row>
    <row r="23" spans="1:11" x14ac:dyDescent="0.25">
      <c r="A23" t="s">
        <v>22</v>
      </c>
      <c r="B23" t="s">
        <v>36</v>
      </c>
      <c r="C23">
        <v>3</v>
      </c>
      <c r="D23" t="s">
        <v>136</v>
      </c>
      <c r="E23">
        <v>50</v>
      </c>
      <c r="F23">
        <v>0</v>
      </c>
      <c r="G23" t="s">
        <v>106</v>
      </c>
      <c r="H23">
        <v>0</v>
      </c>
      <c r="I23">
        <v>0</v>
      </c>
      <c r="J23">
        <v>0</v>
      </c>
      <c r="K23" cm="1">
        <f t="array" ref="K23">_xlfn.XLOOKUP(TRIM(B23),TRIM('Banks '!$A$2:$A$20),'Banks '!$B$2:$B$20,,0)</f>
        <v>40.4</v>
      </c>
    </row>
    <row r="24" spans="1:11" x14ac:dyDescent="0.25">
      <c r="A24" t="s">
        <v>75</v>
      </c>
      <c r="B24" t="s">
        <v>47</v>
      </c>
      <c r="C24">
        <v>10</v>
      </c>
      <c r="D24" t="s">
        <v>137</v>
      </c>
      <c r="E24">
        <v>50</v>
      </c>
      <c r="F24">
        <v>0</v>
      </c>
      <c r="G24" t="s">
        <v>106</v>
      </c>
      <c r="H24">
        <v>0</v>
      </c>
      <c r="I24">
        <v>0</v>
      </c>
      <c r="J24">
        <v>0</v>
      </c>
      <c r="K24" cm="1">
        <f t="array" ref="K24">_xlfn.XLOOKUP(TRIM(B24),TRIM('Banks '!$A$2:$A$20),'Banks '!$B$2:$B$20,,0)</f>
        <v>766.6</v>
      </c>
    </row>
    <row r="25" spans="1:11" x14ac:dyDescent="0.25">
      <c r="A25" t="s">
        <v>90</v>
      </c>
      <c r="B25" t="s">
        <v>47</v>
      </c>
      <c r="C25">
        <v>2</v>
      </c>
      <c r="D25" t="s">
        <v>138</v>
      </c>
      <c r="E25">
        <v>50</v>
      </c>
      <c r="F25">
        <v>0</v>
      </c>
      <c r="G25" t="s">
        <v>106</v>
      </c>
      <c r="H25">
        <v>0</v>
      </c>
      <c r="I25">
        <v>0</v>
      </c>
      <c r="J25">
        <v>0</v>
      </c>
      <c r="K25" cm="1">
        <f t="array" ref="K25">_xlfn.XLOOKUP(TRIM(B25),TRIM('Banks '!$A$2:$A$20),'Banks '!$B$2:$B$20,,0)</f>
        <v>766.6</v>
      </c>
    </row>
    <row r="26" spans="1:11" x14ac:dyDescent="0.25">
      <c r="A26" t="s">
        <v>90</v>
      </c>
      <c r="B26" t="s">
        <v>47</v>
      </c>
      <c r="C26">
        <v>8</v>
      </c>
      <c r="D26" t="s">
        <v>138</v>
      </c>
      <c r="E26">
        <v>50</v>
      </c>
      <c r="F26">
        <v>0</v>
      </c>
      <c r="G26" t="s">
        <v>106</v>
      </c>
      <c r="H26">
        <v>0</v>
      </c>
      <c r="I26">
        <v>0</v>
      </c>
      <c r="J26">
        <v>0</v>
      </c>
      <c r="K26" cm="1">
        <f t="array" ref="K26">_xlfn.XLOOKUP(TRIM(B26),TRIM('Banks '!$A$2:$A$20),'Banks '!$B$2:$B$20,,0)</f>
        <v>766.6</v>
      </c>
    </row>
    <row r="27" spans="1:11" x14ac:dyDescent="0.25">
      <c r="A27" t="s">
        <v>90</v>
      </c>
      <c r="B27" t="s">
        <v>116</v>
      </c>
      <c r="C27">
        <v>2</v>
      </c>
      <c r="D27" t="s">
        <v>138</v>
      </c>
      <c r="E27">
        <v>50</v>
      </c>
      <c r="F27">
        <v>0</v>
      </c>
      <c r="G27" t="s">
        <v>106</v>
      </c>
      <c r="H27">
        <v>0</v>
      </c>
      <c r="I27">
        <v>0</v>
      </c>
      <c r="J27">
        <v>0</v>
      </c>
      <c r="K27" cm="1">
        <f t="array" ref="K27">_xlfn.XLOOKUP(TRIM(B27),TRIM('Banks '!$A$2:$A$20),'Banks '!$B$2:$B$20,,0)</f>
        <v>1017</v>
      </c>
    </row>
    <row r="28" spans="1:11" x14ac:dyDescent="0.25">
      <c r="A28" t="s">
        <v>90</v>
      </c>
      <c r="B28" t="s">
        <v>116</v>
      </c>
      <c r="C28">
        <v>8</v>
      </c>
      <c r="D28" t="s">
        <v>138</v>
      </c>
      <c r="E28">
        <v>50</v>
      </c>
      <c r="F28">
        <v>0</v>
      </c>
      <c r="G28" t="s">
        <v>106</v>
      </c>
      <c r="H28">
        <v>0</v>
      </c>
      <c r="I28">
        <v>0</v>
      </c>
      <c r="J28">
        <v>0</v>
      </c>
      <c r="K28" cm="1">
        <f t="array" ref="K28">_xlfn.XLOOKUP(TRIM(B28),TRIM('Banks '!$A$2:$A$20),'Banks '!$B$2:$B$20,,0)</f>
        <v>1017</v>
      </c>
    </row>
    <row r="29" spans="1:11" x14ac:dyDescent="0.25">
      <c r="A29" t="s">
        <v>71</v>
      </c>
      <c r="B29" t="s">
        <v>32</v>
      </c>
      <c r="C29">
        <v>2</v>
      </c>
      <c r="D29" t="s">
        <v>139</v>
      </c>
      <c r="E29">
        <v>500</v>
      </c>
      <c r="F29">
        <v>0</v>
      </c>
      <c r="G29" t="s">
        <v>106</v>
      </c>
      <c r="H29">
        <v>2</v>
      </c>
      <c r="I29">
        <v>0</v>
      </c>
      <c r="J29">
        <v>0</v>
      </c>
      <c r="K29" cm="1">
        <f t="array" ref="K29">_xlfn.XLOOKUP(TRIM(B29),TRIM('Banks '!$A$2:$A$20),'Banks '!$B$2:$B$20,,0)</f>
        <v>1030</v>
      </c>
    </row>
    <row r="30" spans="1:11" x14ac:dyDescent="0.25">
      <c r="A30" t="s">
        <v>87</v>
      </c>
      <c r="B30" t="s">
        <v>47</v>
      </c>
      <c r="C30">
        <v>3</v>
      </c>
      <c r="D30" t="s">
        <v>140</v>
      </c>
      <c r="E30">
        <v>5000</v>
      </c>
      <c r="F30">
        <v>0</v>
      </c>
      <c r="G30" t="s">
        <v>106</v>
      </c>
      <c r="H30">
        <v>18</v>
      </c>
      <c r="I30">
        <v>2.09</v>
      </c>
      <c r="J30">
        <v>25.75</v>
      </c>
      <c r="K30" cm="1">
        <f t="array" ref="K30">_xlfn.XLOOKUP(TRIM(B30),TRIM('Banks '!$A$2:$A$20),'Banks '!$B$2:$B$20,,0)</f>
        <v>766.6</v>
      </c>
    </row>
    <row r="31" spans="1:11" x14ac:dyDescent="0.25">
      <c r="A31" t="s">
        <v>53</v>
      </c>
      <c r="B31" t="s">
        <v>47</v>
      </c>
      <c r="C31">
        <v>2</v>
      </c>
      <c r="D31" t="s">
        <v>141</v>
      </c>
      <c r="E31">
        <v>50</v>
      </c>
      <c r="F31">
        <v>0</v>
      </c>
      <c r="G31" t="s">
        <v>106</v>
      </c>
      <c r="H31">
        <v>1</v>
      </c>
      <c r="I31">
        <v>0</v>
      </c>
      <c r="J31">
        <v>0</v>
      </c>
      <c r="K31" cm="1">
        <f t="array" ref="K31">_xlfn.XLOOKUP(TRIM(B31),TRIM('Banks '!$A$2:$A$20),'Banks '!$B$2:$B$20,,0)</f>
        <v>766.6</v>
      </c>
    </row>
    <row r="32" spans="1:11" x14ac:dyDescent="0.25">
      <c r="A32" t="s">
        <v>82</v>
      </c>
      <c r="B32" t="s">
        <v>47</v>
      </c>
      <c r="C32">
        <v>4</v>
      </c>
      <c r="D32" t="s">
        <v>142</v>
      </c>
      <c r="E32">
        <v>50</v>
      </c>
      <c r="F32">
        <v>0</v>
      </c>
      <c r="G32" t="s">
        <v>106</v>
      </c>
      <c r="H32">
        <v>1</v>
      </c>
      <c r="I32">
        <v>0</v>
      </c>
      <c r="J32">
        <v>0</v>
      </c>
      <c r="K32" cm="1">
        <f t="array" ref="K32">_xlfn.XLOOKUP(TRIM(B32),TRIM('Banks '!$A$2:$A$20),'Banks '!$B$2:$B$20,,0)</f>
        <v>766.6</v>
      </c>
    </row>
    <row r="33" spans="1:11" x14ac:dyDescent="0.25">
      <c r="A33" t="s">
        <v>82</v>
      </c>
      <c r="B33" t="s">
        <v>47</v>
      </c>
      <c r="C33">
        <v>7</v>
      </c>
      <c r="D33" t="s">
        <v>142</v>
      </c>
      <c r="E33">
        <v>50</v>
      </c>
      <c r="F33">
        <v>0</v>
      </c>
      <c r="G33" t="s">
        <v>106</v>
      </c>
      <c r="H33">
        <v>1</v>
      </c>
      <c r="I33">
        <v>0</v>
      </c>
      <c r="J33">
        <v>0</v>
      </c>
      <c r="K33" cm="1">
        <f t="array" ref="K33">_xlfn.XLOOKUP(TRIM(B33),TRIM('Banks '!$A$2:$A$20),'Banks '!$B$2:$B$20,,0)</f>
        <v>766.6</v>
      </c>
    </row>
    <row r="34" spans="1:11" x14ac:dyDescent="0.25">
      <c r="A34" t="s">
        <v>82</v>
      </c>
      <c r="B34" t="s">
        <v>47</v>
      </c>
      <c r="C34">
        <v>2008</v>
      </c>
      <c r="D34" t="s">
        <v>142</v>
      </c>
      <c r="E34">
        <v>50</v>
      </c>
      <c r="F34">
        <v>0</v>
      </c>
      <c r="G34" t="s">
        <v>106</v>
      </c>
      <c r="H34">
        <v>1</v>
      </c>
      <c r="I34">
        <v>0</v>
      </c>
      <c r="J34">
        <v>0</v>
      </c>
      <c r="K34" cm="1">
        <f t="array" ref="K34">_xlfn.XLOOKUP(TRIM(B34),TRIM('Banks '!$A$2:$A$20),'Banks '!$B$2:$B$20,,0)</f>
        <v>766.6</v>
      </c>
    </row>
    <row r="35" spans="1:11" x14ac:dyDescent="0.25">
      <c r="A35" t="s">
        <v>82</v>
      </c>
      <c r="B35" t="s">
        <v>114</v>
      </c>
      <c r="C35">
        <v>4</v>
      </c>
      <c r="D35" t="s">
        <v>142</v>
      </c>
      <c r="E35">
        <v>50</v>
      </c>
      <c r="F35">
        <v>0</v>
      </c>
      <c r="G35" t="s">
        <v>106</v>
      </c>
      <c r="H35">
        <v>1</v>
      </c>
      <c r="I35">
        <v>0</v>
      </c>
      <c r="J35">
        <v>0</v>
      </c>
      <c r="K35" cm="1">
        <f t="array" ref="K35">_xlfn.XLOOKUP(TRIM(B35),TRIM('Banks '!$A$2:$A$20),'Banks '!$B$2:$B$20,,0)</f>
        <v>385.2</v>
      </c>
    </row>
    <row r="36" spans="1:11" x14ac:dyDescent="0.25">
      <c r="A36" t="s">
        <v>82</v>
      </c>
      <c r="B36" t="s">
        <v>114</v>
      </c>
      <c r="C36">
        <v>7</v>
      </c>
      <c r="D36" t="s">
        <v>142</v>
      </c>
      <c r="E36">
        <v>50</v>
      </c>
      <c r="F36">
        <v>0</v>
      </c>
      <c r="G36" t="s">
        <v>106</v>
      </c>
      <c r="H36">
        <v>1</v>
      </c>
      <c r="I36">
        <v>0</v>
      </c>
      <c r="J36">
        <v>0</v>
      </c>
      <c r="K36" cm="1">
        <f t="array" ref="K36">_xlfn.XLOOKUP(TRIM(B36),TRIM('Banks '!$A$2:$A$20),'Banks '!$B$2:$B$20,,0)</f>
        <v>385.2</v>
      </c>
    </row>
    <row r="37" spans="1:11" x14ac:dyDescent="0.25">
      <c r="A37" t="s">
        <v>82</v>
      </c>
      <c r="B37" t="s">
        <v>114</v>
      </c>
      <c r="C37">
        <v>2008</v>
      </c>
      <c r="D37" t="s">
        <v>142</v>
      </c>
      <c r="E37">
        <v>50</v>
      </c>
      <c r="F37">
        <v>0</v>
      </c>
      <c r="G37" t="s">
        <v>106</v>
      </c>
      <c r="H37">
        <v>1</v>
      </c>
      <c r="I37">
        <v>0</v>
      </c>
      <c r="J37">
        <v>0</v>
      </c>
      <c r="K37" cm="1">
        <f t="array" ref="K37">_xlfn.XLOOKUP(TRIM(B37),TRIM('Banks '!$A$2:$A$20),'Banks '!$B$2:$B$20,,0)</f>
        <v>385.2</v>
      </c>
    </row>
    <row r="38" spans="1:11" x14ac:dyDescent="0.25">
      <c r="A38" t="s">
        <v>82</v>
      </c>
      <c r="B38" t="s">
        <v>116</v>
      </c>
      <c r="C38">
        <v>4</v>
      </c>
      <c r="D38" t="s">
        <v>142</v>
      </c>
      <c r="E38">
        <v>50</v>
      </c>
      <c r="F38">
        <v>0</v>
      </c>
      <c r="G38" t="s">
        <v>106</v>
      </c>
      <c r="H38">
        <v>1</v>
      </c>
      <c r="I38">
        <v>0</v>
      </c>
      <c r="J38">
        <v>0</v>
      </c>
      <c r="K38" cm="1">
        <f t="array" ref="K38">_xlfn.XLOOKUP(TRIM(B38),TRIM('Banks '!$A$2:$A$20),'Banks '!$B$2:$B$20,,0)</f>
        <v>1017</v>
      </c>
    </row>
    <row r="39" spans="1:11" x14ac:dyDescent="0.25">
      <c r="A39" t="s">
        <v>82</v>
      </c>
      <c r="B39" t="s">
        <v>116</v>
      </c>
      <c r="C39">
        <v>7</v>
      </c>
      <c r="D39" t="s">
        <v>142</v>
      </c>
      <c r="E39">
        <v>50</v>
      </c>
      <c r="F39">
        <v>0</v>
      </c>
      <c r="G39" t="s">
        <v>106</v>
      </c>
      <c r="H39">
        <v>1</v>
      </c>
      <c r="I39">
        <v>0</v>
      </c>
      <c r="J39">
        <v>0</v>
      </c>
      <c r="K39" cm="1">
        <f t="array" ref="K39">_xlfn.XLOOKUP(TRIM(B39),TRIM('Banks '!$A$2:$A$20),'Banks '!$B$2:$B$20,,0)</f>
        <v>1017</v>
      </c>
    </row>
    <row r="40" spans="1:11" x14ac:dyDescent="0.25">
      <c r="A40" t="s">
        <v>82</v>
      </c>
      <c r="B40" t="s">
        <v>116</v>
      </c>
      <c r="C40">
        <v>2008</v>
      </c>
      <c r="D40" t="s">
        <v>142</v>
      </c>
      <c r="E40">
        <v>50</v>
      </c>
      <c r="F40">
        <v>0</v>
      </c>
      <c r="G40" t="s">
        <v>106</v>
      </c>
      <c r="H40">
        <v>1</v>
      </c>
      <c r="I40">
        <v>0</v>
      </c>
      <c r="J40">
        <v>0</v>
      </c>
      <c r="K40" cm="1">
        <f t="array" ref="K40">_xlfn.XLOOKUP(TRIM(B40),TRIM('Banks '!$A$2:$A$20),'Banks '!$B$2:$B$20,,0)</f>
        <v>1017</v>
      </c>
    </row>
    <row r="41" spans="1:11" x14ac:dyDescent="0.25">
      <c r="A41" t="s">
        <v>26</v>
      </c>
      <c r="B41" t="s">
        <v>43</v>
      </c>
      <c r="C41">
        <v>2</v>
      </c>
      <c r="D41" t="s">
        <v>143</v>
      </c>
      <c r="E41">
        <v>500</v>
      </c>
      <c r="F41">
        <v>0</v>
      </c>
      <c r="G41" t="s">
        <v>106</v>
      </c>
      <c r="H41">
        <v>0</v>
      </c>
      <c r="I41">
        <v>0</v>
      </c>
      <c r="J41">
        <v>0</v>
      </c>
      <c r="K41" cm="1">
        <f t="array" ref="K41">_xlfn.XLOOKUP(TRIM(B41),TRIM('Banks '!$A$2:$A$20),'Banks '!$B$2:$B$20,,0)</f>
        <v>3210</v>
      </c>
    </row>
    <row r="42" spans="1:11" x14ac:dyDescent="0.25">
      <c r="A42" t="s">
        <v>80</v>
      </c>
      <c r="B42" t="s">
        <v>35</v>
      </c>
      <c r="C42">
        <v>4</v>
      </c>
      <c r="D42" t="s">
        <v>144</v>
      </c>
      <c r="E42">
        <v>50</v>
      </c>
      <c r="F42">
        <v>0</v>
      </c>
      <c r="G42" t="s">
        <v>106</v>
      </c>
      <c r="H42">
        <v>0</v>
      </c>
      <c r="I42">
        <v>0</v>
      </c>
      <c r="J42">
        <v>0</v>
      </c>
      <c r="K42" cm="1">
        <f t="array" ref="K42">_xlfn.XLOOKUP(TRIM(B42),TRIM('Banks '!$A$2:$A$20),'Banks '!$B$2:$B$20,,0)</f>
        <v>23.48</v>
      </c>
    </row>
    <row r="43" spans="1:11" x14ac:dyDescent="0.25">
      <c r="A43" t="s">
        <v>83</v>
      </c>
      <c r="B43" t="s">
        <v>46</v>
      </c>
      <c r="C43">
        <v>2</v>
      </c>
      <c r="D43" t="s">
        <v>145</v>
      </c>
      <c r="E43">
        <v>500</v>
      </c>
      <c r="F43">
        <v>0</v>
      </c>
      <c r="G43" t="s">
        <v>106</v>
      </c>
      <c r="H43">
        <v>1</v>
      </c>
      <c r="I43">
        <v>0</v>
      </c>
      <c r="J43">
        <v>0</v>
      </c>
      <c r="K43" cm="1">
        <f t="array" ref="K43">_xlfn.XLOOKUP(TRIM(B43),TRIM('Banks '!$A$2:$A$20),'Banks '!$B$2:$B$20,,0)</f>
        <v>1017</v>
      </c>
    </row>
    <row r="44" spans="1:11" x14ac:dyDescent="0.25">
      <c r="A44" t="s">
        <v>83</v>
      </c>
      <c r="B44" t="s">
        <v>46</v>
      </c>
      <c r="C44">
        <v>6</v>
      </c>
      <c r="D44" t="s">
        <v>145</v>
      </c>
      <c r="E44">
        <v>500</v>
      </c>
      <c r="F44">
        <v>0</v>
      </c>
      <c r="G44" t="s">
        <v>106</v>
      </c>
      <c r="H44">
        <v>1</v>
      </c>
      <c r="I44">
        <v>0</v>
      </c>
      <c r="J44">
        <v>0</v>
      </c>
      <c r="K44" cm="1">
        <f t="array" ref="K44">_xlfn.XLOOKUP(TRIM(B44),TRIM('Banks '!$A$2:$A$20),'Banks '!$B$2:$B$20,,0)</f>
        <v>1017</v>
      </c>
    </row>
    <row r="45" spans="1:11" x14ac:dyDescent="0.25">
      <c r="A45" t="s">
        <v>83</v>
      </c>
      <c r="B45" t="s">
        <v>117</v>
      </c>
      <c r="C45">
        <v>2</v>
      </c>
      <c r="D45" t="s">
        <v>145</v>
      </c>
      <c r="E45">
        <v>500</v>
      </c>
      <c r="F45">
        <v>0</v>
      </c>
      <c r="G45" t="s">
        <v>106</v>
      </c>
      <c r="H45">
        <v>1</v>
      </c>
      <c r="I45">
        <v>0</v>
      </c>
      <c r="J45">
        <v>0</v>
      </c>
      <c r="K45" cm="1">
        <f t="array" ref="K45">_xlfn.XLOOKUP(TRIM(B45),TRIM('Banks '!$A$2:$A$20),'Banks '!$B$2:$B$20,,0)</f>
        <v>766.6</v>
      </c>
    </row>
    <row r="46" spans="1:11" x14ac:dyDescent="0.25">
      <c r="A46" t="s">
        <v>83</v>
      </c>
      <c r="B46" t="s">
        <v>117</v>
      </c>
      <c r="C46">
        <v>6</v>
      </c>
      <c r="D46" t="s">
        <v>145</v>
      </c>
      <c r="E46">
        <v>500</v>
      </c>
      <c r="F46">
        <v>0</v>
      </c>
      <c r="G46" t="s">
        <v>106</v>
      </c>
      <c r="H46">
        <v>1</v>
      </c>
      <c r="I46">
        <v>0</v>
      </c>
      <c r="J46">
        <v>0</v>
      </c>
      <c r="K46" cm="1">
        <f t="array" ref="K46">_xlfn.XLOOKUP(TRIM(B46),TRIM('Banks '!$A$2:$A$20),'Banks '!$B$2:$B$20,,0)</f>
        <v>766.6</v>
      </c>
    </row>
    <row r="47" spans="1:11" x14ac:dyDescent="0.25">
      <c r="A47" t="s">
        <v>74</v>
      </c>
      <c r="B47" t="s">
        <v>47</v>
      </c>
      <c r="C47">
        <v>7</v>
      </c>
      <c r="D47" t="s">
        <v>146</v>
      </c>
      <c r="E47">
        <v>5000</v>
      </c>
      <c r="F47">
        <v>0</v>
      </c>
      <c r="G47" t="s">
        <v>106</v>
      </c>
      <c r="H47">
        <v>1</v>
      </c>
      <c r="I47">
        <v>114.51</v>
      </c>
      <c r="J47">
        <v>1173.56</v>
      </c>
      <c r="K47" cm="1">
        <f t="array" ref="K47">_xlfn.XLOOKUP(TRIM(B47),TRIM('Banks '!$A$2:$A$20),'Banks '!$B$2:$B$20,,0)</f>
        <v>766.6</v>
      </c>
    </row>
    <row r="48" spans="1:11" x14ac:dyDescent="0.25">
      <c r="A48" t="s">
        <v>54</v>
      </c>
      <c r="B48" t="s">
        <v>47</v>
      </c>
      <c r="C48">
        <v>6</v>
      </c>
      <c r="D48" t="s">
        <v>147</v>
      </c>
      <c r="E48">
        <v>50000</v>
      </c>
      <c r="F48">
        <v>0</v>
      </c>
      <c r="G48" t="s">
        <v>106</v>
      </c>
      <c r="H48">
        <v>2</v>
      </c>
      <c r="I48">
        <v>1.78</v>
      </c>
      <c r="J48">
        <v>81.790000000000006</v>
      </c>
      <c r="K48" cm="1">
        <f t="array" ref="K48">_xlfn.XLOOKUP(TRIM(B48),TRIM('Banks '!$A$2:$A$20),'Banks '!$B$2:$B$20,,0)</f>
        <v>766.6</v>
      </c>
    </row>
    <row r="49" spans="1:11" x14ac:dyDescent="0.25">
      <c r="A49" t="s">
        <v>88</v>
      </c>
      <c r="B49" t="s">
        <v>47</v>
      </c>
      <c r="C49">
        <v>4</v>
      </c>
      <c r="D49" t="s">
        <v>148</v>
      </c>
      <c r="E49">
        <v>5000</v>
      </c>
      <c r="F49">
        <v>0</v>
      </c>
      <c r="G49" t="s">
        <v>106</v>
      </c>
      <c r="H49">
        <v>1</v>
      </c>
      <c r="I49">
        <v>5.8</v>
      </c>
      <c r="J49">
        <v>21.55</v>
      </c>
      <c r="K49" cm="1">
        <f t="array" ref="K49">_xlfn.XLOOKUP(TRIM(B49),TRIM('Banks '!$A$2:$A$20),'Banks '!$B$2:$B$20,,0)</f>
        <v>766.6</v>
      </c>
    </row>
    <row r="50" spans="1:11" x14ac:dyDescent="0.25">
      <c r="A50" t="s">
        <v>55</v>
      </c>
      <c r="B50" t="s">
        <v>31</v>
      </c>
      <c r="C50">
        <v>3</v>
      </c>
      <c r="D50" t="s">
        <v>149</v>
      </c>
      <c r="E50">
        <v>50</v>
      </c>
      <c r="F50">
        <v>0</v>
      </c>
      <c r="G50" t="s">
        <v>106</v>
      </c>
      <c r="H50">
        <v>19</v>
      </c>
      <c r="I50">
        <v>33.729999999999997</v>
      </c>
      <c r="J50">
        <v>64.8</v>
      </c>
      <c r="K50" cm="1">
        <f t="array" ref="K50">_xlfn.XLOOKUP(TRIM(B50),TRIM('Banks '!$A$2:$A$20),'Banks '!$B$2:$B$20,,0)</f>
        <v>642.22</v>
      </c>
    </row>
    <row r="51" spans="1:11" x14ac:dyDescent="0.25">
      <c r="A51" t="s">
        <v>55</v>
      </c>
      <c r="B51" t="s">
        <v>31</v>
      </c>
      <c r="C51">
        <v>4</v>
      </c>
      <c r="D51" t="s">
        <v>149</v>
      </c>
      <c r="E51">
        <v>50</v>
      </c>
      <c r="F51">
        <v>0</v>
      </c>
      <c r="G51" t="s">
        <v>106</v>
      </c>
      <c r="H51">
        <v>19</v>
      </c>
      <c r="I51">
        <v>33.729999999999997</v>
      </c>
      <c r="J51">
        <v>64.8</v>
      </c>
      <c r="K51" cm="1">
        <f t="array" ref="K51">_xlfn.XLOOKUP(TRIM(B51),TRIM('Banks '!$A$2:$A$20),'Banks '!$B$2:$B$20,,0)</f>
        <v>642.22</v>
      </c>
    </row>
    <row r="52" spans="1:11" x14ac:dyDescent="0.25">
      <c r="A52" t="s">
        <v>55</v>
      </c>
      <c r="B52" t="s">
        <v>31</v>
      </c>
      <c r="C52">
        <v>2005</v>
      </c>
      <c r="D52" t="s">
        <v>149</v>
      </c>
      <c r="E52">
        <v>50</v>
      </c>
      <c r="F52">
        <v>0</v>
      </c>
      <c r="G52" t="s">
        <v>106</v>
      </c>
      <c r="H52">
        <v>19</v>
      </c>
      <c r="I52">
        <v>33.729999999999997</v>
      </c>
      <c r="J52">
        <v>64.8</v>
      </c>
      <c r="K52" cm="1">
        <f t="array" ref="K52">_xlfn.XLOOKUP(TRIM(B52),TRIM('Banks '!$A$2:$A$20),'Banks '!$B$2:$B$20,,0)</f>
        <v>642.22</v>
      </c>
    </row>
    <row r="53" spans="1:11" x14ac:dyDescent="0.25">
      <c r="A53" t="s">
        <v>55</v>
      </c>
      <c r="B53" t="s">
        <v>117</v>
      </c>
      <c r="C53">
        <v>3</v>
      </c>
      <c r="D53" t="s">
        <v>149</v>
      </c>
      <c r="E53">
        <v>50</v>
      </c>
      <c r="F53">
        <v>0</v>
      </c>
      <c r="G53" t="s">
        <v>106</v>
      </c>
      <c r="H53">
        <v>19</v>
      </c>
      <c r="I53">
        <v>33.729999999999997</v>
      </c>
      <c r="J53">
        <v>64.8</v>
      </c>
      <c r="K53" cm="1">
        <f t="array" ref="K53">_xlfn.XLOOKUP(TRIM(B53),TRIM('Banks '!$A$2:$A$20),'Banks '!$B$2:$B$20,,0)</f>
        <v>766.6</v>
      </c>
    </row>
    <row r="54" spans="1:11" x14ac:dyDescent="0.25">
      <c r="A54" t="s">
        <v>55</v>
      </c>
      <c r="B54" t="s">
        <v>117</v>
      </c>
      <c r="C54">
        <v>4</v>
      </c>
      <c r="D54" t="s">
        <v>149</v>
      </c>
      <c r="E54">
        <v>50</v>
      </c>
      <c r="F54">
        <v>0</v>
      </c>
      <c r="G54" t="s">
        <v>106</v>
      </c>
      <c r="H54">
        <v>19</v>
      </c>
      <c r="I54">
        <v>33.729999999999997</v>
      </c>
      <c r="J54">
        <v>64.8</v>
      </c>
      <c r="K54" cm="1">
        <f t="array" ref="K54">_xlfn.XLOOKUP(TRIM(B54),TRIM('Banks '!$A$2:$A$20),'Banks '!$B$2:$B$20,,0)</f>
        <v>766.6</v>
      </c>
    </row>
    <row r="55" spans="1:11" x14ac:dyDescent="0.25">
      <c r="A55" t="s">
        <v>55</v>
      </c>
      <c r="B55" t="s">
        <v>117</v>
      </c>
      <c r="C55">
        <v>2005</v>
      </c>
      <c r="D55" t="s">
        <v>149</v>
      </c>
      <c r="E55">
        <v>50</v>
      </c>
      <c r="F55">
        <v>0</v>
      </c>
      <c r="G55" t="s">
        <v>106</v>
      </c>
      <c r="H55">
        <v>19</v>
      </c>
      <c r="I55">
        <v>33.729999999999997</v>
      </c>
      <c r="J55">
        <v>64.8</v>
      </c>
      <c r="K55" cm="1">
        <f t="array" ref="K55">_xlfn.XLOOKUP(TRIM(B55),TRIM('Banks '!$A$2:$A$20),'Banks '!$B$2:$B$20,,0)</f>
        <v>766.6</v>
      </c>
    </row>
    <row r="56" spans="1:11" x14ac:dyDescent="0.25">
      <c r="A56" t="s">
        <v>55</v>
      </c>
      <c r="B56" t="s">
        <v>116</v>
      </c>
      <c r="C56">
        <v>3</v>
      </c>
      <c r="D56" t="s">
        <v>149</v>
      </c>
      <c r="E56">
        <v>50</v>
      </c>
      <c r="F56">
        <v>0</v>
      </c>
      <c r="G56" t="s">
        <v>106</v>
      </c>
      <c r="H56">
        <v>19</v>
      </c>
      <c r="I56">
        <v>33.729999999999997</v>
      </c>
      <c r="J56">
        <v>64.8</v>
      </c>
      <c r="K56" cm="1">
        <f t="array" ref="K56">_xlfn.XLOOKUP(TRIM(B56),TRIM('Banks '!$A$2:$A$20),'Banks '!$B$2:$B$20,,0)</f>
        <v>1017</v>
      </c>
    </row>
    <row r="57" spans="1:11" x14ac:dyDescent="0.25">
      <c r="A57" t="s">
        <v>55</v>
      </c>
      <c r="B57" t="s">
        <v>116</v>
      </c>
      <c r="C57">
        <v>4</v>
      </c>
      <c r="D57" t="s">
        <v>149</v>
      </c>
      <c r="E57">
        <v>50</v>
      </c>
      <c r="F57">
        <v>0</v>
      </c>
      <c r="G57" t="s">
        <v>106</v>
      </c>
      <c r="H57">
        <v>19</v>
      </c>
      <c r="I57">
        <v>33.729999999999997</v>
      </c>
      <c r="J57">
        <v>64.8</v>
      </c>
      <c r="K57" cm="1">
        <f t="array" ref="K57">_xlfn.XLOOKUP(TRIM(B57),TRIM('Banks '!$A$2:$A$20),'Banks '!$B$2:$B$20,,0)</f>
        <v>1017</v>
      </c>
    </row>
    <row r="58" spans="1:11" x14ac:dyDescent="0.25">
      <c r="A58" t="s">
        <v>55</v>
      </c>
      <c r="B58" t="s">
        <v>116</v>
      </c>
      <c r="C58">
        <v>2005</v>
      </c>
      <c r="D58" t="s">
        <v>149</v>
      </c>
      <c r="E58">
        <v>50</v>
      </c>
      <c r="F58">
        <v>0</v>
      </c>
      <c r="G58" t="s">
        <v>106</v>
      </c>
      <c r="H58">
        <v>19</v>
      </c>
      <c r="I58">
        <v>33.729999999999997</v>
      </c>
      <c r="J58">
        <v>64.8</v>
      </c>
      <c r="K58" cm="1">
        <f t="array" ref="K58">_xlfn.XLOOKUP(TRIM(B58),TRIM('Banks '!$A$2:$A$20),'Banks '!$B$2:$B$20,,0)</f>
        <v>1017</v>
      </c>
    </row>
    <row r="59" spans="1:11" x14ac:dyDescent="0.25">
      <c r="A59" t="s">
        <v>20</v>
      </c>
      <c r="B59" t="s">
        <v>35</v>
      </c>
      <c r="C59">
        <v>4</v>
      </c>
      <c r="D59" t="s">
        <v>150</v>
      </c>
      <c r="E59">
        <v>5000</v>
      </c>
      <c r="F59">
        <v>0</v>
      </c>
      <c r="G59" t="s">
        <v>106</v>
      </c>
      <c r="H59">
        <v>4</v>
      </c>
      <c r="I59">
        <v>15.38</v>
      </c>
      <c r="J59">
        <v>259.20999999999998</v>
      </c>
      <c r="K59" cm="1">
        <f t="array" ref="K59">_xlfn.XLOOKUP(TRIM(B59),TRIM('Banks '!$A$2:$A$20),'Banks '!$B$2:$B$20,,0)</f>
        <v>23.48</v>
      </c>
    </row>
    <row r="60" spans="1:11" x14ac:dyDescent="0.25">
      <c r="A60" t="s">
        <v>93</v>
      </c>
      <c r="B60" t="s">
        <v>47</v>
      </c>
      <c r="C60">
        <v>2</v>
      </c>
      <c r="D60" t="s">
        <v>151</v>
      </c>
      <c r="E60">
        <v>500</v>
      </c>
      <c r="F60">
        <v>0</v>
      </c>
      <c r="G60" t="s">
        <v>106</v>
      </c>
      <c r="H60">
        <v>10</v>
      </c>
      <c r="I60">
        <v>13.19</v>
      </c>
      <c r="J60">
        <v>446.52</v>
      </c>
      <c r="K60" cm="1">
        <f t="array" ref="K60">_xlfn.XLOOKUP(TRIM(B60),TRIM('Banks '!$A$2:$A$20),'Banks '!$B$2:$B$20,,0)</f>
        <v>766.6</v>
      </c>
    </row>
    <row r="61" spans="1:11" x14ac:dyDescent="0.25">
      <c r="A61" t="s">
        <v>93</v>
      </c>
      <c r="B61" t="s">
        <v>47</v>
      </c>
      <c r="C61">
        <v>8</v>
      </c>
      <c r="D61" t="s">
        <v>151</v>
      </c>
      <c r="E61">
        <v>500</v>
      </c>
      <c r="F61">
        <v>0</v>
      </c>
      <c r="G61" t="s">
        <v>106</v>
      </c>
      <c r="H61">
        <v>10</v>
      </c>
      <c r="I61">
        <v>13.19</v>
      </c>
      <c r="J61">
        <v>446.52</v>
      </c>
      <c r="K61" cm="1">
        <f t="array" ref="K61">_xlfn.XLOOKUP(TRIM(B61),TRIM('Banks '!$A$2:$A$20),'Banks '!$B$2:$B$20,,0)</f>
        <v>766.6</v>
      </c>
    </row>
    <row r="62" spans="1:11" x14ac:dyDescent="0.25">
      <c r="A62" t="s">
        <v>93</v>
      </c>
      <c r="B62" t="s">
        <v>118</v>
      </c>
      <c r="C62">
        <v>2</v>
      </c>
      <c r="D62" t="s">
        <v>151</v>
      </c>
      <c r="E62">
        <v>500</v>
      </c>
      <c r="F62">
        <v>0</v>
      </c>
      <c r="G62" t="s">
        <v>106</v>
      </c>
      <c r="H62">
        <v>10</v>
      </c>
      <c r="I62">
        <v>13.19</v>
      </c>
      <c r="J62">
        <v>446.52</v>
      </c>
      <c r="K62" cm="1">
        <f t="array" ref="K62">_xlfn.XLOOKUP(TRIM(B62),TRIM('Banks '!$A$2:$A$20),'Banks '!$B$2:$B$20,,0)</f>
        <v>642.22</v>
      </c>
    </row>
    <row r="63" spans="1:11" x14ac:dyDescent="0.25">
      <c r="A63" t="s">
        <v>93</v>
      </c>
      <c r="B63" t="s">
        <v>118</v>
      </c>
      <c r="C63">
        <v>8</v>
      </c>
      <c r="D63" t="s">
        <v>151</v>
      </c>
      <c r="E63">
        <v>500</v>
      </c>
      <c r="F63">
        <v>0</v>
      </c>
      <c r="G63" t="s">
        <v>106</v>
      </c>
      <c r="H63">
        <v>10</v>
      </c>
      <c r="I63">
        <v>13.19</v>
      </c>
      <c r="J63">
        <v>446.52</v>
      </c>
      <c r="K63" cm="1">
        <f t="array" ref="K63">_xlfn.XLOOKUP(TRIM(B63),TRIM('Banks '!$A$2:$A$20),'Banks '!$B$2:$B$20,,0)</f>
        <v>642.22</v>
      </c>
    </row>
    <row r="64" spans="1:11" x14ac:dyDescent="0.25">
      <c r="A64" t="s">
        <v>9</v>
      </c>
      <c r="B64" t="s">
        <v>38</v>
      </c>
      <c r="C64">
        <v>2</v>
      </c>
      <c r="D64" t="s">
        <v>152</v>
      </c>
      <c r="E64">
        <v>500</v>
      </c>
      <c r="F64">
        <v>0</v>
      </c>
      <c r="G64" t="s">
        <v>106</v>
      </c>
      <c r="H64">
        <v>18</v>
      </c>
      <c r="I64">
        <v>12.43</v>
      </c>
      <c r="J64">
        <v>67.73</v>
      </c>
      <c r="K64" cm="1">
        <f t="array" ref="K64">_xlfn.XLOOKUP(TRIM(B64),TRIM('Banks '!$A$2:$A$20),'Banks '!$B$2:$B$20,,0)</f>
        <v>86.29</v>
      </c>
    </row>
    <row r="65" spans="1:11" x14ac:dyDescent="0.25">
      <c r="A65" t="s">
        <v>73</v>
      </c>
      <c r="B65" t="s">
        <v>34</v>
      </c>
      <c r="C65">
        <v>4</v>
      </c>
      <c r="D65" t="s">
        <v>153</v>
      </c>
      <c r="E65">
        <v>5000</v>
      </c>
      <c r="F65">
        <v>0</v>
      </c>
      <c r="G65" t="s">
        <v>106</v>
      </c>
      <c r="H65">
        <v>2</v>
      </c>
      <c r="I65">
        <v>1.2</v>
      </c>
      <c r="J65">
        <v>134.93</v>
      </c>
      <c r="K65" cm="1">
        <f t="array" ref="K65">_xlfn.XLOOKUP(TRIM(B65),TRIM('Banks '!$A$2:$A$20),'Banks '!$B$2:$B$20,,0)</f>
        <v>73.3</v>
      </c>
    </row>
    <row r="66" spans="1:11" x14ac:dyDescent="0.25">
      <c r="A66" t="s">
        <v>92</v>
      </c>
      <c r="B66" t="s">
        <v>47</v>
      </c>
      <c r="C66">
        <v>2</v>
      </c>
      <c r="D66" t="s">
        <v>154</v>
      </c>
      <c r="E66">
        <v>5000</v>
      </c>
      <c r="F66">
        <v>0</v>
      </c>
      <c r="G66" t="s">
        <v>106</v>
      </c>
      <c r="H66">
        <v>1</v>
      </c>
      <c r="I66">
        <v>2.35</v>
      </c>
      <c r="J66">
        <v>18.09</v>
      </c>
      <c r="K66" cm="1">
        <f t="array" ref="K66">_xlfn.XLOOKUP(TRIM(B66),TRIM('Banks '!$A$2:$A$20),'Banks '!$B$2:$B$20,,0)</f>
        <v>766.6</v>
      </c>
    </row>
    <row r="67" spans="1:11" x14ac:dyDescent="0.25">
      <c r="A67" t="s">
        <v>56</v>
      </c>
      <c r="B67" t="s">
        <v>36</v>
      </c>
      <c r="C67">
        <v>10</v>
      </c>
      <c r="D67" t="s">
        <v>155</v>
      </c>
      <c r="E67">
        <v>5000</v>
      </c>
      <c r="F67">
        <v>0</v>
      </c>
      <c r="G67" t="s">
        <v>106</v>
      </c>
      <c r="H67">
        <v>5</v>
      </c>
      <c r="I67">
        <v>11.2</v>
      </c>
      <c r="J67">
        <v>78.45</v>
      </c>
      <c r="K67" cm="1">
        <f t="array" ref="K67">_xlfn.XLOOKUP(TRIM(B67),TRIM('Banks '!$A$2:$A$20),'Banks '!$B$2:$B$20,,0)</f>
        <v>40.4</v>
      </c>
    </row>
    <row r="68" spans="1:11" x14ac:dyDescent="0.25">
      <c r="A68" t="s">
        <v>57</v>
      </c>
      <c r="B68" t="s">
        <v>33</v>
      </c>
      <c r="C68">
        <v>1</v>
      </c>
      <c r="D68" t="s">
        <v>156</v>
      </c>
      <c r="E68">
        <v>5000</v>
      </c>
      <c r="F68">
        <v>0</v>
      </c>
      <c r="G68" t="s">
        <v>106</v>
      </c>
      <c r="H68">
        <v>1</v>
      </c>
      <c r="I68">
        <v>4.3899999999999997</v>
      </c>
      <c r="J68">
        <v>64.650000000000006</v>
      </c>
      <c r="K68" cm="1">
        <f t="array" ref="K68">_xlfn.XLOOKUP(TRIM(B68),TRIM('Banks '!$A$2:$A$20),'Banks '!$B$2:$B$20,,0)</f>
        <v>385.2</v>
      </c>
    </row>
    <row r="69" spans="1:11" x14ac:dyDescent="0.25">
      <c r="A69" t="s">
        <v>57</v>
      </c>
      <c r="B69" t="s">
        <v>33</v>
      </c>
      <c r="C69">
        <v>4</v>
      </c>
      <c r="D69" t="s">
        <v>156</v>
      </c>
      <c r="E69">
        <v>5000</v>
      </c>
      <c r="F69">
        <v>0</v>
      </c>
      <c r="G69" t="s">
        <v>106</v>
      </c>
      <c r="H69">
        <v>1</v>
      </c>
      <c r="I69">
        <v>4.3899999999999997</v>
      </c>
      <c r="J69">
        <v>64.650000000000006</v>
      </c>
      <c r="K69" cm="1">
        <f t="array" ref="K69">_xlfn.XLOOKUP(TRIM(B69),TRIM('Banks '!$A$2:$A$20),'Banks '!$B$2:$B$20,,0)</f>
        <v>385.2</v>
      </c>
    </row>
    <row r="70" spans="1:11" x14ac:dyDescent="0.25">
      <c r="A70" t="s">
        <v>57</v>
      </c>
      <c r="B70" t="s">
        <v>117</v>
      </c>
      <c r="C70">
        <v>1</v>
      </c>
      <c r="D70" t="s">
        <v>156</v>
      </c>
      <c r="E70">
        <v>5000</v>
      </c>
      <c r="F70">
        <v>0</v>
      </c>
      <c r="G70" t="s">
        <v>106</v>
      </c>
      <c r="H70">
        <v>1</v>
      </c>
      <c r="I70">
        <v>4.3899999999999997</v>
      </c>
      <c r="J70">
        <v>64.650000000000006</v>
      </c>
      <c r="K70" cm="1">
        <f t="array" ref="K70">_xlfn.XLOOKUP(TRIM(B70),TRIM('Banks '!$A$2:$A$20),'Banks '!$B$2:$B$20,,0)</f>
        <v>766.6</v>
      </c>
    </row>
    <row r="71" spans="1:11" x14ac:dyDescent="0.25">
      <c r="A71" t="s">
        <v>57</v>
      </c>
      <c r="B71" t="s">
        <v>117</v>
      </c>
      <c r="C71">
        <v>4</v>
      </c>
      <c r="D71" t="s">
        <v>156</v>
      </c>
      <c r="E71">
        <v>5000</v>
      </c>
      <c r="F71">
        <v>0</v>
      </c>
      <c r="G71" t="s">
        <v>106</v>
      </c>
      <c r="H71">
        <v>1</v>
      </c>
      <c r="I71">
        <v>4.3899999999999997</v>
      </c>
      <c r="J71">
        <v>64.650000000000006</v>
      </c>
      <c r="K71" cm="1">
        <f t="array" ref="K71">_xlfn.XLOOKUP(TRIM(B71),TRIM('Banks '!$A$2:$A$20),'Banks '!$B$2:$B$20,,0)</f>
        <v>766.6</v>
      </c>
    </row>
    <row r="72" spans="1:11" x14ac:dyDescent="0.25">
      <c r="A72" t="s">
        <v>4</v>
      </c>
      <c r="B72" t="s">
        <v>33</v>
      </c>
      <c r="C72">
        <v>4</v>
      </c>
      <c r="D72" t="s">
        <v>157</v>
      </c>
      <c r="E72">
        <v>50</v>
      </c>
      <c r="F72">
        <v>0</v>
      </c>
      <c r="G72" t="s">
        <v>106</v>
      </c>
      <c r="H72">
        <v>0</v>
      </c>
      <c r="I72">
        <v>0</v>
      </c>
      <c r="J72">
        <v>0</v>
      </c>
      <c r="K72" cm="1">
        <f t="array" ref="K72">_xlfn.XLOOKUP(TRIM(B72),TRIM('Banks '!$A$2:$A$20),'Banks '!$B$2:$B$20,,0)</f>
        <v>385.2</v>
      </c>
    </row>
    <row r="73" spans="1:11" x14ac:dyDescent="0.25">
      <c r="A73" t="s">
        <v>85</v>
      </c>
      <c r="B73" t="s">
        <v>48</v>
      </c>
      <c r="C73">
        <v>6</v>
      </c>
      <c r="D73" t="s">
        <v>158</v>
      </c>
      <c r="E73">
        <v>500</v>
      </c>
      <c r="F73">
        <v>0</v>
      </c>
      <c r="G73" t="s">
        <v>106</v>
      </c>
      <c r="H73">
        <v>1</v>
      </c>
      <c r="I73">
        <v>28.73</v>
      </c>
      <c r="J73">
        <v>225.48</v>
      </c>
      <c r="K73" cm="1">
        <f t="array" ref="K73">_xlfn.XLOOKUP(TRIM(B73),TRIM('Banks '!$A$2:$A$20),'Banks '!$B$2:$B$20,,0)</f>
        <v>225.31</v>
      </c>
    </row>
    <row r="74" spans="1:11" x14ac:dyDescent="0.25">
      <c r="A74" t="s">
        <v>69</v>
      </c>
      <c r="B74" t="s">
        <v>48</v>
      </c>
      <c r="C74">
        <v>3</v>
      </c>
      <c r="D74" t="s">
        <v>159</v>
      </c>
      <c r="E74">
        <v>50</v>
      </c>
      <c r="F74">
        <v>0</v>
      </c>
      <c r="G74" t="s">
        <v>106</v>
      </c>
      <c r="H74">
        <v>0</v>
      </c>
      <c r="I74">
        <v>0</v>
      </c>
      <c r="J74">
        <v>0</v>
      </c>
      <c r="K74" cm="1">
        <f t="array" ref="K74">_xlfn.XLOOKUP(TRIM(B74),TRIM('Banks '!$A$2:$A$20),'Banks '!$B$2:$B$20,,0)</f>
        <v>225.31</v>
      </c>
    </row>
    <row r="75" spans="1:11" x14ac:dyDescent="0.25">
      <c r="A75" t="s">
        <v>70</v>
      </c>
      <c r="B75" t="s">
        <v>46</v>
      </c>
      <c r="C75">
        <v>2</v>
      </c>
      <c r="D75" t="s">
        <v>160</v>
      </c>
      <c r="E75">
        <v>50</v>
      </c>
      <c r="F75">
        <v>0</v>
      </c>
      <c r="G75" t="s">
        <v>106</v>
      </c>
      <c r="H75">
        <v>0</v>
      </c>
      <c r="I75">
        <v>0</v>
      </c>
      <c r="J75">
        <v>0</v>
      </c>
      <c r="K75" cm="1">
        <f t="array" ref="K75">_xlfn.XLOOKUP(TRIM(B75),TRIM('Banks '!$A$2:$A$20),'Banks '!$B$2:$B$20,,0)</f>
        <v>1017</v>
      </c>
    </row>
    <row r="76" spans="1:11" x14ac:dyDescent="0.25">
      <c r="A76" t="s">
        <v>17</v>
      </c>
      <c r="B76" t="s">
        <v>46</v>
      </c>
      <c r="C76">
        <v>8</v>
      </c>
      <c r="D76" t="s">
        <v>96</v>
      </c>
      <c r="E76">
        <v>500</v>
      </c>
      <c r="F76">
        <v>0</v>
      </c>
      <c r="G76" t="s">
        <v>106</v>
      </c>
      <c r="H76">
        <v>0</v>
      </c>
      <c r="I76">
        <v>0</v>
      </c>
      <c r="J76">
        <v>0</v>
      </c>
      <c r="K76" cm="1">
        <f t="array" ref="K76">_xlfn.XLOOKUP(TRIM(B76),TRIM('Banks '!$A$2:$A$20),'Banks '!$B$2:$B$20,,0)</f>
        <v>1017</v>
      </c>
    </row>
    <row r="77" spans="1:11" x14ac:dyDescent="0.25">
      <c r="A77" t="s">
        <v>61</v>
      </c>
      <c r="B77" t="s">
        <v>46</v>
      </c>
      <c r="C77">
        <v>1</v>
      </c>
      <c r="D77" t="s">
        <v>97</v>
      </c>
      <c r="E77">
        <v>5000</v>
      </c>
      <c r="F77">
        <v>0</v>
      </c>
      <c r="G77" t="s">
        <v>106</v>
      </c>
      <c r="H77">
        <v>8</v>
      </c>
      <c r="I77">
        <v>23.08</v>
      </c>
      <c r="J77">
        <v>85.83</v>
      </c>
      <c r="K77" cm="1">
        <f t="array" ref="K77">_xlfn.XLOOKUP(TRIM(B77),TRIM('Banks '!$A$2:$A$20),'Banks '!$B$2:$B$20,,0)</f>
        <v>1017</v>
      </c>
    </row>
    <row r="78" spans="1:11" x14ac:dyDescent="0.25">
      <c r="A78" t="s">
        <v>21</v>
      </c>
      <c r="B78" t="s">
        <v>48</v>
      </c>
      <c r="C78">
        <v>1</v>
      </c>
      <c r="D78" t="s">
        <v>161</v>
      </c>
      <c r="E78">
        <v>500</v>
      </c>
      <c r="F78">
        <v>0</v>
      </c>
      <c r="G78" t="s">
        <v>106</v>
      </c>
      <c r="H78">
        <v>2</v>
      </c>
      <c r="I78">
        <v>8.8800000000000008</v>
      </c>
      <c r="J78">
        <v>116.29</v>
      </c>
      <c r="K78" cm="1">
        <f t="array" ref="K78">_xlfn.XLOOKUP(TRIM(B78),TRIM('Banks '!$A$2:$A$20),'Banks '!$B$2:$B$20,,0)</f>
        <v>225.31</v>
      </c>
    </row>
    <row r="79" spans="1:11" x14ac:dyDescent="0.25">
      <c r="A79" t="s">
        <v>78</v>
      </c>
      <c r="B79" t="s">
        <v>46</v>
      </c>
      <c r="C79">
        <v>6</v>
      </c>
      <c r="D79" t="s">
        <v>162</v>
      </c>
      <c r="E79">
        <v>50000</v>
      </c>
      <c r="F79">
        <v>0</v>
      </c>
      <c r="G79" t="s">
        <v>106</v>
      </c>
      <c r="H79">
        <v>0</v>
      </c>
      <c r="I79">
        <v>40.44</v>
      </c>
      <c r="J79">
        <v>266.31</v>
      </c>
      <c r="K79" cm="1">
        <f t="array" ref="K79">_xlfn.XLOOKUP(TRIM(B79),TRIM('Banks '!$A$2:$A$20),'Banks '!$B$2:$B$20,,0)</f>
        <v>1017</v>
      </c>
    </row>
    <row r="80" spans="1:11" x14ac:dyDescent="0.25">
      <c r="A80" t="s">
        <v>78</v>
      </c>
      <c r="B80" t="s">
        <v>46</v>
      </c>
      <c r="C80">
        <v>10</v>
      </c>
      <c r="D80" t="s">
        <v>162</v>
      </c>
      <c r="E80">
        <v>50000</v>
      </c>
      <c r="F80">
        <v>0</v>
      </c>
      <c r="G80" t="s">
        <v>106</v>
      </c>
      <c r="H80">
        <v>0</v>
      </c>
      <c r="I80">
        <v>40.44</v>
      </c>
      <c r="J80">
        <v>266.31</v>
      </c>
      <c r="K80" cm="1">
        <f t="array" ref="K80">_xlfn.XLOOKUP(TRIM(B80),TRIM('Banks '!$A$2:$A$20),'Banks '!$B$2:$B$20,,0)</f>
        <v>1017</v>
      </c>
    </row>
    <row r="81" spans="1:11" x14ac:dyDescent="0.25">
      <c r="A81" t="s">
        <v>78</v>
      </c>
      <c r="B81" t="s">
        <v>119</v>
      </c>
      <c r="C81">
        <v>6</v>
      </c>
      <c r="D81" t="s">
        <v>162</v>
      </c>
      <c r="E81">
        <v>50000</v>
      </c>
      <c r="F81">
        <v>0</v>
      </c>
      <c r="G81" t="s">
        <v>106</v>
      </c>
      <c r="H81">
        <v>0</v>
      </c>
      <c r="I81">
        <v>40.44</v>
      </c>
      <c r="J81">
        <v>266.31</v>
      </c>
      <c r="K81" cm="1">
        <f t="array" ref="K81">_xlfn.XLOOKUP(TRIM(B81),TRIM('Banks '!$A$2:$A$20),'Banks '!$B$2:$B$20,,0)</f>
        <v>225.31</v>
      </c>
    </row>
    <row r="82" spans="1:11" x14ac:dyDescent="0.25">
      <c r="A82" t="s">
        <v>78</v>
      </c>
      <c r="B82" t="s">
        <v>119</v>
      </c>
      <c r="C82">
        <v>10</v>
      </c>
      <c r="D82" t="s">
        <v>162</v>
      </c>
      <c r="E82">
        <v>50000</v>
      </c>
      <c r="F82">
        <v>0</v>
      </c>
      <c r="G82" t="s">
        <v>106</v>
      </c>
      <c r="H82">
        <v>0</v>
      </c>
      <c r="I82">
        <v>40.44</v>
      </c>
      <c r="J82">
        <v>266.31</v>
      </c>
      <c r="K82" cm="1">
        <f t="array" ref="K82">_xlfn.XLOOKUP(TRIM(B82),TRIM('Banks '!$A$2:$A$20),'Banks '!$B$2:$B$20,,0)</f>
        <v>225.31</v>
      </c>
    </row>
    <row r="83" spans="1:11" x14ac:dyDescent="0.25">
      <c r="A83" t="s">
        <v>16</v>
      </c>
      <c r="B83" t="s">
        <v>32</v>
      </c>
      <c r="C83">
        <v>4</v>
      </c>
      <c r="D83" t="s">
        <v>163</v>
      </c>
      <c r="E83">
        <v>500</v>
      </c>
      <c r="F83">
        <v>0</v>
      </c>
      <c r="G83" t="s">
        <v>106</v>
      </c>
      <c r="H83">
        <v>27</v>
      </c>
      <c r="I83">
        <v>22.91</v>
      </c>
      <c r="J83">
        <v>123.39</v>
      </c>
      <c r="K83" cm="1">
        <f t="array" ref="K83">_xlfn.XLOOKUP(TRIM(B83),TRIM('Banks '!$A$2:$A$20),'Banks '!$B$2:$B$20,,0)</f>
        <v>1030</v>
      </c>
    </row>
    <row r="84" spans="1:11" x14ac:dyDescent="0.25">
      <c r="A84" t="s">
        <v>7</v>
      </c>
      <c r="B84" t="s">
        <v>36</v>
      </c>
      <c r="C84">
        <v>1</v>
      </c>
      <c r="D84" t="s">
        <v>164</v>
      </c>
      <c r="E84">
        <v>50</v>
      </c>
      <c r="F84">
        <v>0</v>
      </c>
      <c r="G84" t="s">
        <v>106</v>
      </c>
      <c r="H84">
        <v>27</v>
      </c>
      <c r="I84">
        <v>12.05</v>
      </c>
      <c r="J84">
        <v>37.28</v>
      </c>
      <c r="K84" cm="1">
        <f t="array" ref="K84">_xlfn.XLOOKUP(TRIM(B84),TRIM('Banks '!$A$2:$A$20),'Banks '!$B$2:$B$20,,0)</f>
        <v>40.4</v>
      </c>
    </row>
    <row r="85" spans="1:11" x14ac:dyDescent="0.25">
      <c r="A85" t="s">
        <v>79</v>
      </c>
      <c r="B85" t="s">
        <v>48</v>
      </c>
      <c r="C85">
        <v>7</v>
      </c>
      <c r="D85" t="s">
        <v>165</v>
      </c>
      <c r="E85">
        <v>50000</v>
      </c>
      <c r="F85">
        <v>0</v>
      </c>
      <c r="G85" t="s">
        <v>107</v>
      </c>
      <c r="H85">
        <v>48</v>
      </c>
      <c r="I85">
        <v>5.33</v>
      </c>
      <c r="J85">
        <v>40.39</v>
      </c>
      <c r="K85" cm="1">
        <f t="array" ref="K85">_xlfn.XLOOKUP(TRIM(B85),TRIM('Banks '!$A$2:$A$20),'Banks '!$B$2:$B$20,,0)</f>
        <v>225.31</v>
      </c>
    </row>
    <row r="86" spans="1:11" x14ac:dyDescent="0.25">
      <c r="A86" t="s">
        <v>60</v>
      </c>
      <c r="B86" t="s">
        <v>31</v>
      </c>
      <c r="C86">
        <v>3</v>
      </c>
      <c r="D86" t="s">
        <v>166</v>
      </c>
      <c r="E86">
        <v>50000</v>
      </c>
      <c r="F86">
        <v>0</v>
      </c>
      <c r="G86" t="s">
        <v>108</v>
      </c>
      <c r="H86">
        <v>67</v>
      </c>
      <c r="I86">
        <v>7.99</v>
      </c>
      <c r="J86">
        <v>47.94</v>
      </c>
      <c r="K86" cm="1">
        <f t="array" ref="K86">_xlfn.XLOOKUP(TRIM(B86),TRIM('Banks '!$A$2:$A$20),'Banks '!$B$2:$B$20,,0)</f>
        <v>642.22</v>
      </c>
    </row>
    <row r="87" spans="1:11" x14ac:dyDescent="0.25">
      <c r="A87" t="s">
        <v>49</v>
      </c>
      <c r="B87" t="s">
        <v>47</v>
      </c>
      <c r="C87">
        <v>7</v>
      </c>
      <c r="D87" t="s">
        <v>167</v>
      </c>
      <c r="E87">
        <v>50</v>
      </c>
      <c r="F87">
        <v>0</v>
      </c>
      <c r="G87" t="s">
        <v>106</v>
      </c>
      <c r="H87">
        <v>16</v>
      </c>
      <c r="I87">
        <v>7.1</v>
      </c>
      <c r="J87">
        <v>66.42</v>
      </c>
      <c r="K87" cm="1">
        <f t="array" ref="K87">_xlfn.XLOOKUP(TRIM(B87),TRIM('Banks '!$A$2:$A$20),'Banks '!$B$2:$B$20,,0)</f>
        <v>766.6</v>
      </c>
    </row>
    <row r="88" spans="1:11" x14ac:dyDescent="0.25">
      <c r="A88" t="s">
        <v>10</v>
      </c>
      <c r="B88" t="s">
        <v>39</v>
      </c>
      <c r="C88">
        <v>3</v>
      </c>
      <c r="D88" t="s">
        <v>168</v>
      </c>
      <c r="E88">
        <v>500</v>
      </c>
      <c r="F88">
        <v>0</v>
      </c>
      <c r="G88" t="s">
        <v>106</v>
      </c>
      <c r="H88">
        <v>3</v>
      </c>
      <c r="I88">
        <v>16.02</v>
      </c>
      <c r="J88">
        <v>87</v>
      </c>
      <c r="K88" cm="1">
        <f t="array" ref="K88">_xlfn.XLOOKUP(TRIM(B88),TRIM('Banks '!$A$2:$A$20),'Banks '!$B$2:$B$20,,0)</f>
        <v>23.5</v>
      </c>
    </row>
    <row r="89" spans="1:11" x14ac:dyDescent="0.25">
      <c r="A89" t="s">
        <v>18</v>
      </c>
      <c r="B89" t="s">
        <v>47</v>
      </c>
      <c r="C89">
        <v>1</v>
      </c>
      <c r="D89" t="s">
        <v>169</v>
      </c>
      <c r="E89">
        <v>50</v>
      </c>
      <c r="F89">
        <v>0</v>
      </c>
      <c r="G89" t="s">
        <v>106</v>
      </c>
      <c r="H89">
        <v>0</v>
      </c>
      <c r="I89">
        <v>0</v>
      </c>
      <c r="J89">
        <v>0</v>
      </c>
      <c r="K89" cm="1">
        <f t="array" ref="K89">_xlfn.XLOOKUP(TRIM(B89),TRIM('Banks '!$A$2:$A$20),'Banks '!$B$2:$B$20,,0)</f>
        <v>766.6</v>
      </c>
    </row>
    <row r="90" spans="1:11" x14ac:dyDescent="0.25">
      <c r="A90" t="s">
        <v>94</v>
      </c>
      <c r="B90" t="s">
        <v>47</v>
      </c>
      <c r="C90">
        <v>8</v>
      </c>
      <c r="D90" t="s">
        <v>170</v>
      </c>
      <c r="E90">
        <v>50</v>
      </c>
      <c r="F90">
        <v>0</v>
      </c>
      <c r="G90" t="s">
        <v>106</v>
      </c>
      <c r="H90">
        <v>8</v>
      </c>
      <c r="I90">
        <v>0</v>
      </c>
      <c r="J90">
        <v>0</v>
      </c>
      <c r="K90" cm="1">
        <f t="array" ref="K90">_xlfn.XLOOKUP(TRIM(B90),TRIM('Banks '!$A$2:$A$20),'Banks '!$B$2:$B$20,,0)</f>
        <v>766.6</v>
      </c>
    </row>
    <row r="91" spans="1:11" x14ac:dyDescent="0.25">
      <c r="A91" t="s">
        <v>24</v>
      </c>
      <c r="B91" t="s">
        <v>40</v>
      </c>
      <c r="C91">
        <v>3</v>
      </c>
      <c r="D91" t="s">
        <v>171</v>
      </c>
      <c r="E91">
        <v>50000</v>
      </c>
      <c r="F91">
        <v>0</v>
      </c>
      <c r="G91" t="s">
        <v>106</v>
      </c>
      <c r="H91">
        <v>0</v>
      </c>
      <c r="I91">
        <v>15.09</v>
      </c>
      <c r="J91">
        <v>54.83</v>
      </c>
      <c r="K91" cm="1">
        <f t="array" ref="K91">_xlfn.XLOOKUP(TRIM(B91),TRIM('Banks '!$A$2:$A$20),'Banks '!$B$2:$B$20,,0)</f>
        <v>50</v>
      </c>
    </row>
    <row r="92" spans="1:11" x14ac:dyDescent="0.25">
      <c r="A92" t="s">
        <v>76</v>
      </c>
      <c r="B92" t="s">
        <v>111</v>
      </c>
      <c r="C92">
        <v>4</v>
      </c>
      <c r="D92" t="s">
        <v>172</v>
      </c>
      <c r="E92">
        <v>50000</v>
      </c>
      <c r="F92">
        <v>0</v>
      </c>
      <c r="G92" t="s">
        <v>106</v>
      </c>
      <c r="H92">
        <v>32</v>
      </c>
      <c r="I92">
        <v>2.66</v>
      </c>
      <c r="J92">
        <v>34.909999999999997</v>
      </c>
      <c r="K92" cm="1">
        <f t="array" ref="K92">_xlfn.XLOOKUP(TRIM(B92),TRIM('Banks '!$A$2:$A$20),'Banks '!$B$2:$B$20,,0)</f>
        <v>65.900000000000006</v>
      </c>
    </row>
    <row r="93" spans="1:11" x14ac:dyDescent="0.25">
      <c r="A93" t="s">
        <v>76</v>
      </c>
      <c r="B93" t="s">
        <v>111</v>
      </c>
      <c r="C93">
        <v>8</v>
      </c>
      <c r="D93" t="s">
        <v>172</v>
      </c>
      <c r="E93">
        <v>50000</v>
      </c>
      <c r="F93">
        <v>0</v>
      </c>
      <c r="G93" t="s">
        <v>106</v>
      </c>
      <c r="H93">
        <v>32</v>
      </c>
      <c r="I93">
        <v>2.66</v>
      </c>
      <c r="J93">
        <v>34.909999999999997</v>
      </c>
      <c r="K93" cm="1">
        <f t="array" ref="K93">_xlfn.XLOOKUP(TRIM(B93),TRIM('Banks '!$A$2:$A$20),'Banks '!$B$2:$B$20,,0)</f>
        <v>65.900000000000006</v>
      </c>
    </row>
    <row r="94" spans="1:11" x14ac:dyDescent="0.25">
      <c r="A94" t="s">
        <v>76</v>
      </c>
      <c r="B94" t="s">
        <v>111</v>
      </c>
      <c r="C94">
        <v>10</v>
      </c>
      <c r="D94" t="s">
        <v>172</v>
      </c>
      <c r="E94">
        <v>50000</v>
      </c>
      <c r="F94">
        <v>0</v>
      </c>
      <c r="G94" t="s">
        <v>106</v>
      </c>
      <c r="H94">
        <v>32</v>
      </c>
      <c r="I94">
        <v>2.66</v>
      </c>
      <c r="J94">
        <v>34.909999999999997</v>
      </c>
      <c r="K94" cm="1">
        <f t="array" ref="K94">_xlfn.XLOOKUP(TRIM(B94),TRIM('Banks '!$A$2:$A$20),'Banks '!$B$2:$B$20,,0)</f>
        <v>65.900000000000006</v>
      </c>
    </row>
    <row r="95" spans="1:11" x14ac:dyDescent="0.25">
      <c r="A95" t="s">
        <v>76</v>
      </c>
      <c r="B95" t="s">
        <v>118</v>
      </c>
      <c r="C95">
        <v>4</v>
      </c>
      <c r="D95" t="s">
        <v>172</v>
      </c>
      <c r="E95">
        <v>50000</v>
      </c>
      <c r="F95">
        <v>0</v>
      </c>
      <c r="G95" t="s">
        <v>106</v>
      </c>
      <c r="H95">
        <v>32</v>
      </c>
      <c r="I95">
        <v>2.66</v>
      </c>
      <c r="J95">
        <v>34.909999999999997</v>
      </c>
      <c r="K95" cm="1">
        <f t="array" ref="K95">_xlfn.XLOOKUP(TRIM(B95),TRIM('Banks '!$A$2:$A$20),'Banks '!$B$2:$B$20,,0)</f>
        <v>642.22</v>
      </c>
    </row>
    <row r="96" spans="1:11" x14ac:dyDescent="0.25">
      <c r="A96" t="s">
        <v>76</v>
      </c>
      <c r="B96" t="s">
        <v>118</v>
      </c>
      <c r="C96">
        <v>8</v>
      </c>
      <c r="D96" t="s">
        <v>172</v>
      </c>
      <c r="E96">
        <v>50000</v>
      </c>
      <c r="F96">
        <v>0</v>
      </c>
      <c r="G96" t="s">
        <v>106</v>
      </c>
      <c r="H96">
        <v>32</v>
      </c>
      <c r="I96">
        <v>2.66</v>
      </c>
      <c r="J96">
        <v>34.909999999999997</v>
      </c>
      <c r="K96" cm="1">
        <f t="array" ref="K96">_xlfn.XLOOKUP(TRIM(B96),TRIM('Banks '!$A$2:$A$20),'Banks '!$B$2:$B$20,,0)</f>
        <v>642.22</v>
      </c>
    </row>
    <row r="97" spans="1:11" x14ac:dyDescent="0.25">
      <c r="A97" t="s">
        <v>76</v>
      </c>
      <c r="B97" t="s">
        <v>118</v>
      </c>
      <c r="C97">
        <v>10</v>
      </c>
      <c r="D97" t="s">
        <v>172</v>
      </c>
      <c r="E97">
        <v>50000</v>
      </c>
      <c r="F97">
        <v>0</v>
      </c>
      <c r="G97" t="s">
        <v>106</v>
      </c>
      <c r="H97">
        <v>32</v>
      </c>
      <c r="I97">
        <v>2.66</v>
      </c>
      <c r="J97">
        <v>34.909999999999997</v>
      </c>
      <c r="K97" cm="1">
        <f t="array" ref="K97">_xlfn.XLOOKUP(TRIM(B97),TRIM('Banks '!$A$2:$A$20),'Banks '!$B$2:$B$20,,0)</f>
        <v>642.22</v>
      </c>
    </row>
    <row r="98" spans="1:11" x14ac:dyDescent="0.25">
      <c r="A98" t="s">
        <v>76</v>
      </c>
      <c r="B98" t="s">
        <v>120</v>
      </c>
      <c r="C98">
        <v>4</v>
      </c>
      <c r="D98" t="s">
        <v>172</v>
      </c>
      <c r="E98">
        <v>50000</v>
      </c>
      <c r="F98">
        <v>0</v>
      </c>
      <c r="G98" t="s">
        <v>106</v>
      </c>
      <c r="H98">
        <v>32</v>
      </c>
      <c r="I98">
        <v>2.66</v>
      </c>
      <c r="J98">
        <v>34.909999999999997</v>
      </c>
      <c r="K98" cm="1">
        <f t="array" ref="K98">_xlfn.XLOOKUP(TRIM(B98),TRIM('Banks '!$A$2:$A$20),'Banks '!$B$2:$B$20,,0)</f>
        <v>4</v>
      </c>
    </row>
    <row r="99" spans="1:11" x14ac:dyDescent="0.25">
      <c r="A99" t="s">
        <v>76</v>
      </c>
      <c r="B99" t="s">
        <v>120</v>
      </c>
      <c r="C99">
        <v>8</v>
      </c>
      <c r="D99" t="s">
        <v>172</v>
      </c>
      <c r="E99">
        <v>50000</v>
      </c>
      <c r="F99">
        <v>0</v>
      </c>
      <c r="G99" t="s">
        <v>106</v>
      </c>
      <c r="H99">
        <v>32</v>
      </c>
      <c r="I99">
        <v>2.66</v>
      </c>
      <c r="J99">
        <v>34.909999999999997</v>
      </c>
      <c r="K99" cm="1">
        <f t="array" ref="K99">_xlfn.XLOOKUP(TRIM(B99),TRIM('Banks '!$A$2:$A$20),'Banks '!$B$2:$B$20,,0)</f>
        <v>4</v>
      </c>
    </row>
    <row r="100" spans="1:11" x14ac:dyDescent="0.25">
      <c r="A100" t="s">
        <v>76</v>
      </c>
      <c r="B100" t="s">
        <v>120</v>
      </c>
      <c r="C100">
        <v>10</v>
      </c>
      <c r="D100" t="s">
        <v>172</v>
      </c>
      <c r="E100">
        <v>50000</v>
      </c>
      <c r="F100">
        <v>0</v>
      </c>
      <c r="G100" t="s">
        <v>106</v>
      </c>
      <c r="H100">
        <v>32</v>
      </c>
      <c r="I100">
        <v>2.66</v>
      </c>
      <c r="J100">
        <v>34.909999999999997</v>
      </c>
      <c r="K100" cm="1">
        <f t="array" ref="K100">_xlfn.XLOOKUP(TRIM(B100),TRIM('Banks '!$A$2:$A$20),'Banks '!$B$2:$B$20,,0)</f>
        <v>4</v>
      </c>
    </row>
    <row r="101" spans="1:11" x14ac:dyDescent="0.25">
      <c r="A101" t="s">
        <v>14</v>
      </c>
      <c r="B101" t="s">
        <v>45</v>
      </c>
      <c r="C101">
        <v>9</v>
      </c>
      <c r="D101" t="s">
        <v>99</v>
      </c>
      <c r="E101">
        <v>50</v>
      </c>
      <c r="F101">
        <v>0</v>
      </c>
      <c r="G101" t="s">
        <v>106</v>
      </c>
      <c r="H101">
        <v>2</v>
      </c>
      <c r="I101">
        <v>0</v>
      </c>
      <c r="J101">
        <v>0</v>
      </c>
      <c r="K101" cm="1">
        <f t="array" ref="K101">_xlfn.XLOOKUP(TRIM(B101),TRIM('Banks '!$A$2:$A$20),'Banks '!$B$2:$B$20,,0)</f>
        <v>3210</v>
      </c>
    </row>
    <row r="102" spans="1:11" x14ac:dyDescent="0.25">
      <c r="A102" t="s">
        <v>28</v>
      </c>
      <c r="B102" t="s">
        <v>45</v>
      </c>
      <c r="C102">
        <v>5</v>
      </c>
      <c r="D102" t="s">
        <v>98</v>
      </c>
      <c r="E102">
        <v>50000</v>
      </c>
      <c r="F102">
        <v>0</v>
      </c>
      <c r="G102" t="s">
        <v>106</v>
      </c>
      <c r="H102">
        <v>0</v>
      </c>
      <c r="I102">
        <v>4.4400000000000004</v>
      </c>
      <c r="J102">
        <v>71.900000000000006</v>
      </c>
      <c r="K102" cm="1">
        <f t="array" ref="K102">_xlfn.XLOOKUP(TRIM(B102),TRIM('Banks '!$A$2:$A$20),'Banks '!$B$2:$B$20,,0)</f>
        <v>3210</v>
      </c>
    </row>
    <row r="103" spans="1:11" x14ac:dyDescent="0.25">
      <c r="A103" t="s">
        <v>50</v>
      </c>
      <c r="B103" t="s">
        <v>47</v>
      </c>
      <c r="C103">
        <v>3</v>
      </c>
      <c r="D103" t="s">
        <v>173</v>
      </c>
      <c r="E103">
        <v>500</v>
      </c>
      <c r="F103">
        <v>0</v>
      </c>
      <c r="G103" t="s">
        <v>106</v>
      </c>
      <c r="H103">
        <v>1</v>
      </c>
      <c r="I103">
        <v>87.88</v>
      </c>
      <c r="J103">
        <v>526.41</v>
      </c>
      <c r="K103" cm="1">
        <f t="array" ref="K103">_xlfn.XLOOKUP(TRIM(B103),TRIM('Banks '!$A$2:$A$20),'Banks '!$B$2:$B$20,,0)</f>
        <v>766.6</v>
      </c>
    </row>
    <row r="104" spans="1:11" x14ac:dyDescent="0.25">
      <c r="A104" t="s">
        <v>50</v>
      </c>
      <c r="B104" t="s">
        <v>47</v>
      </c>
      <c r="C104">
        <v>7</v>
      </c>
      <c r="D104" t="s">
        <v>173</v>
      </c>
      <c r="E104">
        <v>500</v>
      </c>
      <c r="F104">
        <v>0</v>
      </c>
      <c r="G104" t="s">
        <v>106</v>
      </c>
      <c r="H104">
        <v>1</v>
      </c>
      <c r="I104">
        <v>87.88</v>
      </c>
      <c r="J104">
        <v>526.41</v>
      </c>
      <c r="K104" cm="1">
        <f t="array" ref="K104">_xlfn.XLOOKUP(TRIM(B104),TRIM('Banks '!$A$2:$A$20),'Banks '!$B$2:$B$20,,0)</f>
        <v>766.6</v>
      </c>
    </row>
    <row r="105" spans="1:11" x14ac:dyDescent="0.25">
      <c r="A105" t="s">
        <v>50</v>
      </c>
      <c r="B105" t="s">
        <v>121</v>
      </c>
      <c r="C105">
        <v>3</v>
      </c>
      <c r="D105" t="s">
        <v>173</v>
      </c>
      <c r="E105">
        <v>500</v>
      </c>
      <c r="F105">
        <v>0</v>
      </c>
      <c r="G105" t="s">
        <v>106</v>
      </c>
      <c r="H105">
        <v>1</v>
      </c>
      <c r="I105">
        <v>87.88</v>
      </c>
      <c r="J105">
        <v>526.41</v>
      </c>
      <c r="K105" cm="1">
        <f t="array" ref="K105">_xlfn.XLOOKUP(TRIM(B105),TRIM('Banks '!$A$2:$A$20),'Banks '!$B$2:$B$20,,0)</f>
        <v>40.4</v>
      </c>
    </row>
    <row r="106" spans="1:11" x14ac:dyDescent="0.25">
      <c r="A106" t="s">
        <v>50</v>
      </c>
      <c r="B106" t="s">
        <v>121</v>
      </c>
      <c r="C106">
        <v>7</v>
      </c>
      <c r="D106" t="s">
        <v>173</v>
      </c>
      <c r="E106">
        <v>500</v>
      </c>
      <c r="F106">
        <v>0</v>
      </c>
      <c r="G106" t="s">
        <v>106</v>
      </c>
      <c r="H106">
        <v>1</v>
      </c>
      <c r="I106">
        <v>87.88</v>
      </c>
      <c r="J106">
        <v>526.41</v>
      </c>
      <c r="K106" cm="1">
        <f t="array" ref="K106">_xlfn.XLOOKUP(TRIM(B106),TRIM('Banks '!$A$2:$A$20),'Banks '!$B$2:$B$20,,0)</f>
        <v>40.4</v>
      </c>
    </row>
    <row r="107" spans="1:11" x14ac:dyDescent="0.25">
      <c r="A107" t="s">
        <v>23</v>
      </c>
      <c r="B107" t="s">
        <v>42</v>
      </c>
      <c r="C107">
        <v>9</v>
      </c>
      <c r="D107" t="s">
        <v>174</v>
      </c>
      <c r="E107">
        <v>50</v>
      </c>
      <c r="F107">
        <v>0</v>
      </c>
      <c r="G107" t="s">
        <v>109</v>
      </c>
      <c r="H107">
        <v>0</v>
      </c>
      <c r="I107">
        <v>0</v>
      </c>
      <c r="J107">
        <v>0</v>
      </c>
      <c r="K107" cm="1">
        <f t="array" ref="K107">_xlfn.XLOOKUP(TRIM(B107),TRIM('Banks '!$A$2:$A$20),'Banks '!$B$2:$B$20,,0)</f>
        <v>4</v>
      </c>
    </row>
    <row r="108" spans="1:11" x14ac:dyDescent="0.25">
      <c r="A108" t="s">
        <v>2</v>
      </c>
      <c r="B108" t="s">
        <v>32</v>
      </c>
      <c r="C108">
        <v>1</v>
      </c>
      <c r="D108" t="s">
        <v>175</v>
      </c>
      <c r="E108">
        <v>5000</v>
      </c>
      <c r="F108">
        <v>0</v>
      </c>
      <c r="G108" t="s">
        <v>106</v>
      </c>
      <c r="H108">
        <v>1</v>
      </c>
      <c r="I108">
        <v>23.9</v>
      </c>
      <c r="J108">
        <v>227.25</v>
      </c>
      <c r="K108" cm="1">
        <f t="array" ref="K108">_xlfn.XLOOKUP(TRIM(B108),TRIM('Banks '!$A$2:$A$20),'Banks '!$B$2:$B$20,,0)</f>
        <v>1030</v>
      </c>
    </row>
    <row r="109" spans="1:11" x14ac:dyDescent="0.25">
      <c r="A109" t="s">
        <v>19</v>
      </c>
      <c r="B109" t="s">
        <v>33</v>
      </c>
      <c r="C109">
        <v>3</v>
      </c>
      <c r="D109" t="s">
        <v>176</v>
      </c>
      <c r="E109">
        <v>50000</v>
      </c>
      <c r="F109">
        <v>0</v>
      </c>
      <c r="G109" t="s">
        <v>106</v>
      </c>
      <c r="H109">
        <v>0</v>
      </c>
      <c r="I109">
        <v>7.99</v>
      </c>
      <c r="J109">
        <v>67.88</v>
      </c>
      <c r="K109" cm="1">
        <f t="array" ref="K109">_xlfn.XLOOKUP(TRIM(B109),TRIM('Banks '!$A$2:$A$20),'Banks '!$B$2:$B$20,,0)</f>
        <v>385.2</v>
      </c>
    </row>
    <row r="110" spans="1:11" x14ac:dyDescent="0.25">
      <c r="A110" t="s">
        <v>84</v>
      </c>
      <c r="B110" t="s">
        <v>47</v>
      </c>
      <c r="C110">
        <v>10</v>
      </c>
      <c r="D110" t="s">
        <v>177</v>
      </c>
      <c r="E110">
        <v>50</v>
      </c>
      <c r="F110">
        <v>0</v>
      </c>
      <c r="G110" t="s">
        <v>106</v>
      </c>
      <c r="H110">
        <v>1</v>
      </c>
      <c r="I110">
        <v>0</v>
      </c>
      <c r="J110">
        <v>0</v>
      </c>
      <c r="K110" cm="1">
        <f t="array" ref="K110">_xlfn.XLOOKUP(TRIM(B110),TRIM('Banks '!$A$2:$A$20),'Banks '!$B$2:$B$20,,0)</f>
        <v>766.6</v>
      </c>
    </row>
    <row r="111" spans="1:11" x14ac:dyDescent="0.25">
      <c r="A111" t="s">
        <v>67</v>
      </c>
      <c r="B111" t="s">
        <v>48</v>
      </c>
      <c r="C111">
        <v>7</v>
      </c>
      <c r="D111" t="s">
        <v>178</v>
      </c>
      <c r="E111">
        <v>50</v>
      </c>
      <c r="F111">
        <v>0</v>
      </c>
      <c r="G111" t="s">
        <v>107</v>
      </c>
      <c r="H111">
        <v>40</v>
      </c>
      <c r="I111">
        <v>9.76</v>
      </c>
      <c r="J111">
        <v>67.790000000000006</v>
      </c>
      <c r="K111" cm="1">
        <f t="array" ref="K111">_xlfn.XLOOKUP(TRIM(B111),TRIM('Banks '!$A$2:$A$20),'Banks '!$B$2:$B$20,,0)</f>
        <v>225.31</v>
      </c>
    </row>
    <row r="112" spans="1:11" x14ac:dyDescent="0.25">
      <c r="A112" t="s">
        <v>67</v>
      </c>
      <c r="B112" t="s">
        <v>48</v>
      </c>
      <c r="C112">
        <v>8</v>
      </c>
      <c r="D112" t="s">
        <v>178</v>
      </c>
      <c r="E112">
        <v>50</v>
      </c>
      <c r="F112">
        <v>0</v>
      </c>
      <c r="G112" t="s">
        <v>107</v>
      </c>
      <c r="H112">
        <v>40</v>
      </c>
      <c r="I112">
        <v>9.76</v>
      </c>
      <c r="J112">
        <v>67.790000000000006</v>
      </c>
      <c r="K112" cm="1">
        <f t="array" ref="K112">_xlfn.XLOOKUP(TRIM(B112),TRIM('Banks '!$A$2:$A$20),'Banks '!$B$2:$B$20,,0)</f>
        <v>225.31</v>
      </c>
    </row>
    <row r="113" spans="1:11" x14ac:dyDescent="0.25">
      <c r="A113" t="s">
        <v>67</v>
      </c>
      <c r="B113" t="s">
        <v>117</v>
      </c>
      <c r="C113">
        <v>7</v>
      </c>
      <c r="D113" t="s">
        <v>178</v>
      </c>
      <c r="E113">
        <v>50</v>
      </c>
      <c r="F113">
        <v>0</v>
      </c>
      <c r="G113" t="s">
        <v>107</v>
      </c>
      <c r="H113">
        <v>40</v>
      </c>
      <c r="I113">
        <v>9.76</v>
      </c>
      <c r="J113">
        <v>67.790000000000006</v>
      </c>
      <c r="K113" cm="1">
        <f t="array" ref="K113">_xlfn.XLOOKUP(TRIM(B113),TRIM('Banks '!$A$2:$A$20),'Banks '!$B$2:$B$20,,0)</f>
        <v>766.6</v>
      </c>
    </row>
    <row r="114" spans="1:11" x14ac:dyDescent="0.25">
      <c r="A114" t="s">
        <v>67</v>
      </c>
      <c r="B114" t="s">
        <v>117</v>
      </c>
      <c r="C114">
        <v>8</v>
      </c>
      <c r="D114" t="s">
        <v>178</v>
      </c>
      <c r="E114">
        <v>50</v>
      </c>
      <c r="F114">
        <v>0</v>
      </c>
      <c r="G114" t="s">
        <v>107</v>
      </c>
      <c r="H114">
        <v>40</v>
      </c>
      <c r="I114">
        <v>9.76</v>
      </c>
      <c r="J114">
        <v>67.790000000000006</v>
      </c>
      <c r="K114" cm="1">
        <f t="array" ref="K114">_xlfn.XLOOKUP(TRIM(B114),TRIM('Banks '!$A$2:$A$20),'Banks '!$B$2:$B$20,,0)</f>
        <v>766.6</v>
      </c>
    </row>
    <row r="115" spans="1:11" x14ac:dyDescent="0.25">
      <c r="A115" t="s">
        <v>58</v>
      </c>
      <c r="B115" t="s">
        <v>33</v>
      </c>
      <c r="C115">
        <v>2</v>
      </c>
      <c r="D115" t="s">
        <v>179</v>
      </c>
      <c r="E115">
        <v>5000</v>
      </c>
      <c r="F115">
        <v>0</v>
      </c>
      <c r="G115" t="s">
        <v>106</v>
      </c>
      <c r="H115">
        <v>0</v>
      </c>
      <c r="I115">
        <v>0</v>
      </c>
      <c r="J115">
        <v>0</v>
      </c>
      <c r="K115" cm="1">
        <f t="array" ref="K115">_xlfn.XLOOKUP(TRIM(B115),TRIM('Banks '!$A$2:$A$20),'Banks '!$B$2:$B$20,,0)</f>
        <v>385.2</v>
      </c>
    </row>
    <row r="116" spans="1:11" x14ac:dyDescent="0.25">
      <c r="A116" t="s">
        <v>5</v>
      </c>
      <c r="B116" t="s">
        <v>34</v>
      </c>
      <c r="C116">
        <v>1</v>
      </c>
      <c r="D116" t="s">
        <v>180</v>
      </c>
      <c r="E116">
        <v>50</v>
      </c>
      <c r="F116">
        <v>0</v>
      </c>
      <c r="G116" t="s">
        <v>106</v>
      </c>
      <c r="H116">
        <v>14</v>
      </c>
      <c r="I116">
        <v>10.65</v>
      </c>
      <c r="J116">
        <v>181.71</v>
      </c>
      <c r="K116" cm="1">
        <f t="array" ref="K116">_xlfn.XLOOKUP(TRIM(B116),TRIM('Banks '!$A$2:$A$20),'Banks '!$B$2:$B$20,,0)</f>
        <v>73.3</v>
      </c>
    </row>
    <row r="117" spans="1:11" x14ac:dyDescent="0.25">
      <c r="A117" t="s">
        <v>68</v>
      </c>
      <c r="B117" t="s">
        <v>47</v>
      </c>
      <c r="C117">
        <v>2</v>
      </c>
      <c r="D117" t="s">
        <v>181</v>
      </c>
      <c r="E117">
        <v>5000</v>
      </c>
      <c r="F117">
        <v>0</v>
      </c>
      <c r="G117" t="s">
        <v>107</v>
      </c>
      <c r="H117">
        <v>37</v>
      </c>
      <c r="I117">
        <v>5.33</v>
      </c>
      <c r="J117">
        <v>41.92</v>
      </c>
      <c r="K117" cm="1">
        <f t="array" ref="K117">_xlfn.XLOOKUP(TRIM(B117),TRIM('Banks '!$A$2:$A$20),'Banks '!$B$2:$B$20,,0)</f>
        <v>766.6</v>
      </c>
    </row>
    <row r="118" spans="1:11" x14ac:dyDescent="0.25">
      <c r="A118" t="s">
        <v>68</v>
      </c>
      <c r="B118" t="s">
        <v>47</v>
      </c>
      <c r="C118">
        <v>5</v>
      </c>
      <c r="D118" t="s">
        <v>181</v>
      </c>
      <c r="E118">
        <v>5000</v>
      </c>
      <c r="F118">
        <v>0</v>
      </c>
      <c r="G118" t="s">
        <v>107</v>
      </c>
      <c r="H118">
        <v>37</v>
      </c>
      <c r="I118">
        <v>5.33</v>
      </c>
      <c r="J118">
        <v>41.92</v>
      </c>
      <c r="K118" cm="1">
        <f t="array" ref="K118">_xlfn.XLOOKUP(TRIM(B118),TRIM('Banks '!$A$2:$A$20),'Banks '!$B$2:$B$20,,0)</f>
        <v>766.6</v>
      </c>
    </row>
    <row r="119" spans="1:11" x14ac:dyDescent="0.25">
      <c r="A119" t="s">
        <v>68</v>
      </c>
      <c r="B119" t="s">
        <v>119</v>
      </c>
      <c r="C119">
        <v>2</v>
      </c>
      <c r="D119" t="s">
        <v>181</v>
      </c>
      <c r="E119">
        <v>5000</v>
      </c>
      <c r="F119">
        <v>0</v>
      </c>
      <c r="G119" t="s">
        <v>107</v>
      </c>
      <c r="H119">
        <v>37</v>
      </c>
      <c r="I119">
        <v>5.33</v>
      </c>
      <c r="J119">
        <v>41.92</v>
      </c>
      <c r="K119" cm="1">
        <f t="array" ref="K119">_xlfn.XLOOKUP(TRIM(B119),TRIM('Banks '!$A$2:$A$20),'Banks '!$B$2:$B$20,,0)</f>
        <v>225.31</v>
      </c>
    </row>
    <row r="120" spans="1:11" x14ac:dyDescent="0.25">
      <c r="A120" t="s">
        <v>68</v>
      </c>
      <c r="B120" t="s">
        <v>119</v>
      </c>
      <c r="C120">
        <v>5</v>
      </c>
      <c r="D120" t="s">
        <v>181</v>
      </c>
      <c r="E120">
        <v>5000</v>
      </c>
      <c r="F120">
        <v>0</v>
      </c>
      <c r="G120" t="s">
        <v>107</v>
      </c>
      <c r="H120">
        <v>37</v>
      </c>
      <c r="I120">
        <v>5.33</v>
      </c>
      <c r="J120">
        <v>41.92</v>
      </c>
      <c r="K120" cm="1">
        <f t="array" ref="K120">_xlfn.XLOOKUP(TRIM(B120),TRIM('Banks '!$A$2:$A$20),'Banks '!$B$2:$B$20,,0)</f>
        <v>225.31</v>
      </c>
    </row>
    <row r="121" spans="1:11" x14ac:dyDescent="0.25">
      <c r="A121" t="s">
        <v>66</v>
      </c>
      <c r="B121" t="s">
        <v>47</v>
      </c>
      <c r="C121">
        <v>6</v>
      </c>
      <c r="D121" t="s">
        <v>182</v>
      </c>
      <c r="E121">
        <v>50</v>
      </c>
      <c r="F121">
        <v>0</v>
      </c>
      <c r="G121" t="s">
        <v>106</v>
      </c>
      <c r="H121">
        <v>0</v>
      </c>
      <c r="I121">
        <v>0</v>
      </c>
      <c r="J121">
        <v>0</v>
      </c>
      <c r="K121" cm="1">
        <f t="array" ref="K121">_xlfn.XLOOKUP(TRIM(B121),TRIM('Banks '!$A$2:$A$20),'Banks '!$B$2:$B$20,,0)</f>
        <v>766.6</v>
      </c>
    </row>
    <row r="122" spans="1:11" x14ac:dyDescent="0.25">
      <c r="A122" t="s">
        <v>13</v>
      </c>
      <c r="B122" t="s">
        <v>44</v>
      </c>
      <c r="C122">
        <v>2</v>
      </c>
      <c r="D122" t="s">
        <v>183</v>
      </c>
      <c r="E122">
        <v>50</v>
      </c>
      <c r="F122">
        <v>0</v>
      </c>
      <c r="G122" t="s">
        <v>106</v>
      </c>
      <c r="H122">
        <v>3</v>
      </c>
      <c r="I122">
        <v>0</v>
      </c>
      <c r="J122">
        <v>0</v>
      </c>
      <c r="K122" cm="1">
        <f t="array" ref="K122">_xlfn.XLOOKUP(TRIM(B122),TRIM('Banks '!$A$2:$A$20),'Banks '!$B$2:$B$20,,0)</f>
        <v>12</v>
      </c>
    </row>
    <row r="123" spans="1:11" x14ac:dyDescent="0.25">
      <c r="A123" t="s">
        <v>63</v>
      </c>
      <c r="B123" t="s">
        <v>48</v>
      </c>
      <c r="C123">
        <v>7</v>
      </c>
      <c r="D123" t="s">
        <v>184</v>
      </c>
      <c r="E123">
        <v>5000</v>
      </c>
      <c r="F123">
        <v>0</v>
      </c>
      <c r="G123" t="s">
        <v>106</v>
      </c>
      <c r="H123">
        <v>3</v>
      </c>
      <c r="I123">
        <v>6.83</v>
      </c>
      <c r="J123">
        <v>61.56</v>
      </c>
      <c r="K123" cm="1">
        <f t="array" ref="K123">_xlfn.XLOOKUP(TRIM(B123),TRIM('Banks '!$A$2:$A$20),'Banks '!$B$2:$B$20,,0)</f>
        <v>225.31</v>
      </c>
    </row>
    <row r="124" spans="1:11" x14ac:dyDescent="0.25">
      <c r="A124" t="s">
        <v>86</v>
      </c>
      <c r="B124" t="s">
        <v>47</v>
      </c>
      <c r="C124">
        <v>3</v>
      </c>
      <c r="D124" t="s">
        <v>185</v>
      </c>
      <c r="E124">
        <v>5000</v>
      </c>
      <c r="F124">
        <v>0</v>
      </c>
      <c r="G124" t="s">
        <v>106</v>
      </c>
      <c r="H124">
        <v>5</v>
      </c>
      <c r="I124">
        <v>12.73</v>
      </c>
      <c r="J124">
        <v>167.74</v>
      </c>
      <c r="K124" cm="1">
        <f t="array" ref="K124">_xlfn.XLOOKUP(TRIM(B124),TRIM('Banks '!$A$2:$A$20),'Banks '!$B$2:$B$20,,0)</f>
        <v>766.6</v>
      </c>
    </row>
    <row r="125" spans="1:11" x14ac:dyDescent="0.25">
      <c r="A125" t="s">
        <v>86</v>
      </c>
      <c r="B125" t="s">
        <v>47</v>
      </c>
      <c r="C125">
        <v>5</v>
      </c>
      <c r="D125" t="s">
        <v>185</v>
      </c>
      <c r="E125">
        <v>5000</v>
      </c>
      <c r="F125">
        <v>0</v>
      </c>
      <c r="G125" t="s">
        <v>106</v>
      </c>
      <c r="H125">
        <v>5</v>
      </c>
      <c r="I125">
        <v>12.73</v>
      </c>
      <c r="J125">
        <v>167.74</v>
      </c>
      <c r="K125" cm="1">
        <f t="array" ref="K125">_xlfn.XLOOKUP(TRIM(B125),TRIM('Banks '!$A$2:$A$20),'Banks '!$B$2:$B$20,,0)</f>
        <v>766.6</v>
      </c>
    </row>
    <row r="126" spans="1:11" x14ac:dyDescent="0.25">
      <c r="A126" t="s">
        <v>86</v>
      </c>
      <c r="B126" t="s">
        <v>122</v>
      </c>
      <c r="C126">
        <v>3</v>
      </c>
      <c r="D126" t="s">
        <v>185</v>
      </c>
      <c r="E126">
        <v>5000</v>
      </c>
      <c r="F126">
        <v>0</v>
      </c>
      <c r="G126" t="s">
        <v>106</v>
      </c>
      <c r="H126">
        <v>5</v>
      </c>
      <c r="I126">
        <v>12.73</v>
      </c>
      <c r="J126">
        <v>167.74</v>
      </c>
      <c r="K126" cm="1">
        <f t="array" ref="K126">_xlfn.XLOOKUP(TRIM(B126),TRIM('Banks '!$A$2:$A$20),'Banks '!$B$2:$B$20,,0)</f>
        <v>23.48</v>
      </c>
    </row>
    <row r="127" spans="1:11" x14ac:dyDescent="0.25">
      <c r="A127" t="s">
        <v>86</v>
      </c>
      <c r="B127" t="s">
        <v>122</v>
      </c>
      <c r="C127">
        <v>5</v>
      </c>
      <c r="D127" t="s">
        <v>185</v>
      </c>
      <c r="E127">
        <v>5000</v>
      </c>
      <c r="F127">
        <v>0</v>
      </c>
      <c r="G127" t="s">
        <v>106</v>
      </c>
      <c r="H127">
        <v>5</v>
      </c>
      <c r="I127">
        <v>12.73</v>
      </c>
      <c r="J127">
        <v>167.74</v>
      </c>
      <c r="K127" cm="1">
        <f t="array" ref="K127">_xlfn.XLOOKUP(TRIM(B127),TRIM('Banks '!$A$2:$A$20),'Banks '!$B$2:$B$20,,0)</f>
        <v>23.48</v>
      </c>
    </row>
    <row r="128" spans="1:11" x14ac:dyDescent="0.25">
      <c r="A128" t="s">
        <v>72</v>
      </c>
      <c r="B128" t="s">
        <v>31</v>
      </c>
      <c r="C128">
        <v>5</v>
      </c>
      <c r="D128" t="s">
        <v>186</v>
      </c>
      <c r="E128">
        <v>50</v>
      </c>
      <c r="F128">
        <v>0</v>
      </c>
      <c r="G128" t="s">
        <v>106</v>
      </c>
      <c r="H128">
        <v>0</v>
      </c>
      <c r="I128">
        <v>0</v>
      </c>
      <c r="J128">
        <v>0</v>
      </c>
      <c r="K128" cm="1">
        <f t="array" ref="K128">_xlfn.XLOOKUP(TRIM(B128),TRIM('Banks '!$A$2:$A$20),'Banks '!$B$2:$B$20,,0)</f>
        <v>642.22</v>
      </c>
    </row>
    <row r="129" spans="1:11" x14ac:dyDescent="0.25">
      <c r="A129" t="s">
        <v>11</v>
      </c>
      <c r="B129" t="s">
        <v>40</v>
      </c>
      <c r="C129">
        <v>6</v>
      </c>
      <c r="D129" t="s">
        <v>187</v>
      </c>
      <c r="E129">
        <v>50</v>
      </c>
      <c r="F129">
        <v>0</v>
      </c>
      <c r="G129" t="s">
        <v>106</v>
      </c>
      <c r="H129">
        <v>7</v>
      </c>
      <c r="I129">
        <v>15.09</v>
      </c>
      <c r="J129">
        <v>514.87</v>
      </c>
      <c r="K129" cm="1">
        <f t="array" ref="K129">_xlfn.XLOOKUP(TRIM(B129),TRIM('Banks '!$A$2:$A$20),'Banks '!$B$2:$B$20,,0)</f>
        <v>50</v>
      </c>
    </row>
    <row r="130" spans="1:11" x14ac:dyDescent="0.25">
      <c r="A130" t="s">
        <v>3</v>
      </c>
      <c r="B130" t="s">
        <v>47</v>
      </c>
      <c r="C130">
        <v>1</v>
      </c>
      <c r="D130" t="s">
        <v>188</v>
      </c>
      <c r="E130">
        <v>500</v>
      </c>
      <c r="F130">
        <v>0</v>
      </c>
      <c r="G130" t="s">
        <v>106</v>
      </c>
      <c r="H130">
        <v>7</v>
      </c>
      <c r="I130">
        <v>24.35</v>
      </c>
      <c r="J130">
        <v>111.22</v>
      </c>
      <c r="K130" cm="1">
        <f t="array" ref="K130">_xlfn.XLOOKUP(TRIM(B130),TRIM('Banks '!$A$2:$A$20),'Banks '!$B$2:$B$20,,0)</f>
        <v>766.6</v>
      </c>
    </row>
    <row r="131" spans="1:11" x14ac:dyDescent="0.25">
      <c r="A131" t="s">
        <v>3</v>
      </c>
      <c r="B131" t="s">
        <v>47</v>
      </c>
      <c r="C131">
        <v>8</v>
      </c>
      <c r="D131" t="s">
        <v>188</v>
      </c>
      <c r="E131">
        <v>500</v>
      </c>
      <c r="F131">
        <v>0</v>
      </c>
      <c r="G131" t="s">
        <v>106</v>
      </c>
      <c r="H131">
        <v>7</v>
      </c>
      <c r="I131">
        <v>24.35</v>
      </c>
      <c r="J131">
        <v>111.22</v>
      </c>
      <c r="K131" cm="1">
        <f t="array" ref="K131">_xlfn.XLOOKUP(TRIM(B131),TRIM('Banks '!$A$2:$A$20),'Banks '!$B$2:$B$20,,0)</f>
        <v>766.6</v>
      </c>
    </row>
    <row r="132" spans="1:11" x14ac:dyDescent="0.25">
      <c r="A132" t="s">
        <v>3</v>
      </c>
      <c r="B132" t="s">
        <v>118</v>
      </c>
      <c r="C132">
        <v>1</v>
      </c>
      <c r="D132" t="s">
        <v>188</v>
      </c>
      <c r="E132">
        <v>500</v>
      </c>
      <c r="F132">
        <v>0</v>
      </c>
      <c r="G132" t="s">
        <v>106</v>
      </c>
      <c r="H132">
        <v>7</v>
      </c>
      <c r="I132">
        <v>24.35</v>
      </c>
      <c r="J132">
        <v>111.22</v>
      </c>
      <c r="K132" cm="1">
        <f t="array" ref="K132">_xlfn.XLOOKUP(TRIM(B132),TRIM('Banks '!$A$2:$A$20),'Banks '!$B$2:$B$20,,0)</f>
        <v>642.22</v>
      </c>
    </row>
    <row r="133" spans="1:11" x14ac:dyDescent="0.25">
      <c r="A133" t="s">
        <v>3</v>
      </c>
      <c r="B133" t="s">
        <v>118</v>
      </c>
      <c r="C133">
        <v>8</v>
      </c>
      <c r="D133" t="s">
        <v>188</v>
      </c>
      <c r="E133">
        <v>500</v>
      </c>
      <c r="F133">
        <v>0</v>
      </c>
      <c r="G133" t="s">
        <v>106</v>
      </c>
      <c r="H133">
        <v>7</v>
      </c>
      <c r="I133">
        <v>24.35</v>
      </c>
      <c r="J133">
        <v>111.22</v>
      </c>
      <c r="K133" cm="1">
        <f t="array" ref="K133">_xlfn.XLOOKUP(TRIM(B133),TRIM('Banks '!$A$2:$A$20),'Banks '!$B$2:$B$20,,0)</f>
        <v>642.22</v>
      </c>
    </row>
    <row r="134" spans="1:11" x14ac:dyDescent="0.25">
      <c r="A134" t="s">
        <v>64</v>
      </c>
      <c r="B134" t="s">
        <v>47</v>
      </c>
      <c r="C134">
        <v>7</v>
      </c>
      <c r="D134" t="s">
        <v>189</v>
      </c>
      <c r="E134">
        <v>500</v>
      </c>
      <c r="F134">
        <v>0</v>
      </c>
      <c r="G134" t="s">
        <v>106</v>
      </c>
      <c r="H134">
        <v>9</v>
      </c>
      <c r="I134">
        <v>32.85</v>
      </c>
      <c r="J134">
        <v>102.82</v>
      </c>
      <c r="K134" cm="1">
        <f t="array" ref="K134">_xlfn.XLOOKUP(TRIM(B134),TRIM('Banks '!$A$2:$A$20),'Banks '!$B$2:$B$20,,0)</f>
        <v>766.6</v>
      </c>
    </row>
    <row r="135" spans="1:11" x14ac:dyDescent="0.25">
      <c r="A135" t="s">
        <v>77</v>
      </c>
      <c r="B135" t="s">
        <v>48</v>
      </c>
      <c r="C135">
        <v>6</v>
      </c>
      <c r="D135" t="s">
        <v>190</v>
      </c>
      <c r="E135">
        <v>50000</v>
      </c>
      <c r="F135">
        <v>0</v>
      </c>
      <c r="G135" t="s">
        <v>106</v>
      </c>
      <c r="H135">
        <v>2</v>
      </c>
      <c r="I135">
        <v>4.17</v>
      </c>
      <c r="J135">
        <v>48.58</v>
      </c>
      <c r="K135" cm="1">
        <f t="array" ref="K135">_xlfn.XLOOKUP(TRIM(B135),TRIM('Banks '!$A$2:$A$20),'Banks '!$B$2:$B$20,,0)</f>
        <v>225.31</v>
      </c>
    </row>
    <row r="136" spans="1:11" x14ac:dyDescent="0.25">
      <c r="A136" t="s">
        <v>77</v>
      </c>
      <c r="B136" t="s">
        <v>48</v>
      </c>
      <c r="C136">
        <v>8</v>
      </c>
      <c r="D136" t="s">
        <v>190</v>
      </c>
      <c r="E136">
        <v>50000</v>
      </c>
      <c r="F136">
        <v>0</v>
      </c>
      <c r="G136" t="s">
        <v>106</v>
      </c>
      <c r="H136">
        <v>2</v>
      </c>
      <c r="I136">
        <v>4.17</v>
      </c>
      <c r="J136">
        <v>48.58</v>
      </c>
      <c r="K136" cm="1">
        <f t="array" ref="K136">_xlfn.XLOOKUP(TRIM(B136),TRIM('Banks '!$A$2:$A$20),'Banks '!$B$2:$B$20,,0)</f>
        <v>225.31</v>
      </c>
    </row>
    <row r="137" spans="1:11" x14ac:dyDescent="0.25">
      <c r="A137" t="s">
        <v>77</v>
      </c>
      <c r="B137" t="s">
        <v>123</v>
      </c>
      <c r="C137">
        <v>6</v>
      </c>
      <c r="D137" t="s">
        <v>190</v>
      </c>
      <c r="E137">
        <v>50000</v>
      </c>
      <c r="F137">
        <v>0</v>
      </c>
      <c r="G137" t="s">
        <v>106</v>
      </c>
      <c r="H137">
        <v>2</v>
      </c>
      <c r="I137">
        <v>4.17</v>
      </c>
      <c r="J137">
        <v>48.58</v>
      </c>
      <c r="K137" cm="1">
        <f t="array" ref="K137">_xlfn.XLOOKUP(TRIM(B137),TRIM('Banks '!$A$2:$A$20),'Banks '!$B$2:$B$20,,0)</f>
        <v>65.900000000000006</v>
      </c>
    </row>
    <row r="138" spans="1:11" x14ac:dyDescent="0.25">
      <c r="A138" t="s">
        <v>77</v>
      </c>
      <c r="B138" t="s">
        <v>123</v>
      </c>
      <c r="C138">
        <v>8</v>
      </c>
      <c r="D138" t="s">
        <v>190</v>
      </c>
      <c r="E138">
        <v>50000</v>
      </c>
      <c r="F138">
        <v>0</v>
      </c>
      <c r="G138" t="s">
        <v>106</v>
      </c>
      <c r="H138">
        <v>2</v>
      </c>
      <c r="I138">
        <v>4.17</v>
      </c>
      <c r="J138">
        <v>48.58</v>
      </c>
      <c r="K138" cm="1">
        <f t="array" ref="K138">_xlfn.XLOOKUP(TRIM(B138),TRIM('Banks '!$A$2:$A$20),'Banks '!$B$2:$B$20,,0)</f>
        <v>65.900000000000006</v>
      </c>
    </row>
    <row r="139" spans="1:11" x14ac:dyDescent="0.25">
      <c r="A139" t="s">
        <v>15</v>
      </c>
      <c r="B139" t="s">
        <v>31</v>
      </c>
      <c r="C139">
        <v>3</v>
      </c>
      <c r="D139" t="s">
        <v>191</v>
      </c>
      <c r="E139">
        <v>50</v>
      </c>
      <c r="F139">
        <v>0</v>
      </c>
      <c r="G139" t="s">
        <v>106</v>
      </c>
      <c r="H139">
        <v>0</v>
      </c>
      <c r="I139">
        <v>0</v>
      </c>
      <c r="J139">
        <v>0</v>
      </c>
      <c r="K139" cm="1">
        <f t="array" ref="K139">_xlfn.XLOOKUP(TRIM(B139),TRIM('Banks '!$A$2:$A$20),'Banks '!$B$2:$B$20,,0)</f>
        <v>642.22</v>
      </c>
    </row>
    <row r="140" spans="1:11" x14ac:dyDescent="0.25">
      <c r="A140" t="s">
        <v>81</v>
      </c>
      <c r="B140" t="s">
        <v>47</v>
      </c>
      <c r="C140">
        <v>8</v>
      </c>
      <c r="D140" t="s">
        <v>192</v>
      </c>
      <c r="E140">
        <v>50</v>
      </c>
      <c r="F140">
        <v>0</v>
      </c>
      <c r="G140" t="s">
        <v>106</v>
      </c>
      <c r="H140">
        <v>13</v>
      </c>
      <c r="I140">
        <v>1.78</v>
      </c>
      <c r="J140">
        <v>126.06</v>
      </c>
      <c r="K140" cm="1">
        <f t="array" ref="K140">_xlfn.XLOOKUP(TRIM(B140),TRIM('Banks '!$A$2:$A$20),'Banks '!$B$2:$B$20,,0)</f>
        <v>766.6</v>
      </c>
    </row>
    <row r="141" spans="1:11" x14ac:dyDescent="0.25">
      <c r="A141" t="s">
        <v>65</v>
      </c>
      <c r="B141" t="s">
        <v>47</v>
      </c>
      <c r="C141">
        <v>4</v>
      </c>
      <c r="D141" t="s">
        <v>193</v>
      </c>
      <c r="E141">
        <v>50000</v>
      </c>
      <c r="F141">
        <v>0</v>
      </c>
      <c r="G141" t="s">
        <v>106</v>
      </c>
      <c r="H141">
        <v>3</v>
      </c>
      <c r="I141">
        <v>19.53</v>
      </c>
      <c r="J141">
        <v>50.07</v>
      </c>
      <c r="K141" cm="1">
        <f t="array" ref="K141">_xlfn.XLOOKUP(TRIM(B141),TRIM('Banks '!$A$2:$A$20),'Banks '!$B$2:$B$20,,0)</f>
        <v>766.6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21AA-BA48-49EF-BD42-8C1B3BC7D0D2}">
  <dimension ref="A1:B20"/>
  <sheetViews>
    <sheetView tabSelected="1" topLeftCell="A7" workbookViewId="0">
      <selection activeCell="D13" sqref="D13"/>
    </sheetView>
  </sheetViews>
  <sheetFormatPr defaultRowHeight="15" x14ac:dyDescent="0.25"/>
  <cols>
    <col min="1" max="1" width="19.42578125" bestFit="1" customWidth="1"/>
    <col min="2" max="2" width="14.85546875" bestFit="1" customWidth="1"/>
  </cols>
  <sheetData>
    <row r="1" spans="1:2" x14ac:dyDescent="0.25">
      <c r="A1" t="s">
        <v>110</v>
      </c>
      <c r="B1" t="s">
        <v>112</v>
      </c>
    </row>
    <row r="2" spans="1:2" x14ac:dyDescent="0.25">
      <c r="A2" t="s">
        <v>118</v>
      </c>
      <c r="B2">
        <v>642.22</v>
      </c>
    </row>
    <row r="3" spans="1:2" x14ac:dyDescent="0.25">
      <c r="A3" t="s">
        <v>35</v>
      </c>
      <c r="B3">
        <v>23.48</v>
      </c>
    </row>
    <row r="4" spans="1:2" x14ac:dyDescent="0.25">
      <c r="A4" t="s">
        <v>34</v>
      </c>
      <c r="B4">
        <v>73.3</v>
      </c>
    </row>
    <row r="5" spans="1:2" x14ac:dyDescent="0.25">
      <c r="A5" t="s">
        <v>114</v>
      </c>
      <c r="B5">
        <v>385.2</v>
      </c>
    </row>
    <row r="6" spans="1:2" x14ac:dyDescent="0.25">
      <c r="A6" t="s">
        <v>43</v>
      </c>
      <c r="B6">
        <v>3210</v>
      </c>
    </row>
    <row r="7" spans="1:2" x14ac:dyDescent="0.25">
      <c r="A7" t="s">
        <v>116</v>
      </c>
      <c r="B7">
        <v>1017</v>
      </c>
    </row>
    <row r="8" spans="1:2" x14ac:dyDescent="0.25">
      <c r="A8" t="s">
        <v>41</v>
      </c>
      <c r="B8">
        <v>40.380000000000003</v>
      </c>
    </row>
    <row r="9" spans="1:2" x14ac:dyDescent="0.25">
      <c r="A9" t="s">
        <v>39</v>
      </c>
      <c r="B9">
        <v>23.5</v>
      </c>
    </row>
    <row r="10" spans="1:2" x14ac:dyDescent="0.25">
      <c r="A10" t="s">
        <v>44</v>
      </c>
      <c r="B10">
        <v>12</v>
      </c>
    </row>
    <row r="11" spans="1:2" x14ac:dyDescent="0.25">
      <c r="A11" t="s">
        <v>45</v>
      </c>
      <c r="B11">
        <v>3210</v>
      </c>
    </row>
    <row r="12" spans="1:2" x14ac:dyDescent="0.25">
      <c r="A12" t="s">
        <v>36</v>
      </c>
      <c r="B12">
        <v>40.4</v>
      </c>
    </row>
    <row r="13" spans="1:2" x14ac:dyDescent="0.25">
      <c r="A13" t="s">
        <v>40</v>
      </c>
      <c r="B13">
        <v>50</v>
      </c>
    </row>
    <row r="14" spans="1:2" x14ac:dyDescent="0.25">
      <c r="A14" t="s">
        <v>48</v>
      </c>
      <c r="B14">
        <v>225.31</v>
      </c>
    </row>
    <row r="15" spans="1:2" x14ac:dyDescent="0.25">
      <c r="A15" t="s">
        <v>37</v>
      </c>
      <c r="B15">
        <v>43.68</v>
      </c>
    </row>
    <row r="16" spans="1:2" x14ac:dyDescent="0.25">
      <c r="A16" t="s">
        <v>117</v>
      </c>
      <c r="B16">
        <v>766.6</v>
      </c>
    </row>
    <row r="17" spans="1:2" x14ac:dyDescent="0.25">
      <c r="A17" t="s">
        <v>123</v>
      </c>
      <c r="B17">
        <v>65.900000000000006</v>
      </c>
    </row>
    <row r="18" spans="1:2" x14ac:dyDescent="0.25">
      <c r="A18" t="s">
        <v>42</v>
      </c>
      <c r="B18">
        <v>4</v>
      </c>
    </row>
    <row r="19" spans="1:2" x14ac:dyDescent="0.25">
      <c r="A19" t="s">
        <v>38</v>
      </c>
      <c r="B19">
        <v>86.29</v>
      </c>
    </row>
    <row r="20" spans="1:2" x14ac:dyDescent="0.25">
      <c r="A20" t="s">
        <v>113</v>
      </c>
      <c r="B20">
        <v>1030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B95CC-69D5-419C-A5F3-7BFD3DC49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Banks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lawalmayowa95@gmail.com</dc:creator>
  <cp:lastModifiedBy>lawalmayowa95@gmail.com</cp:lastModifiedBy>
  <dcterms:created xsi:type="dcterms:W3CDTF">2025-11-03T01:03:02Z</dcterms:created>
  <dcterms:modified xsi:type="dcterms:W3CDTF">2025-11-04T15:34:53Z</dcterms:modified>
</cp:coreProperties>
</file>